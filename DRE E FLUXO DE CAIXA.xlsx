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0755A13A-497D-48EA-8E99-960BCB9F0C6F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TIPO" sheetId="17" r:id="rId9"/>
    <sheet name="Planilha2" sheetId="13" state="hidden" r:id="rId10"/>
    <sheet name="Planilha1" sheetId="12" state="hidden" r:id="rId11"/>
  </sheets>
  <definedNames>
    <definedName name="_xlnm._FilterDatabase" localSheetId="1" hidden="1">' DRE  '!$A$1:$N$75</definedName>
    <definedName name="_xlnm._FilterDatabase" localSheetId="10" hidden="1">Planilha1!$A$1:$M$41</definedName>
  </definedNames>
  <calcPr calcId="181029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54" i="1" l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C110" i="1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<sst xmlns="http://schemas.openxmlformats.org/spreadsheetml/2006/main" count="59737" uniqueCount="5939">
  <si>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</si>
  <si>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</si>
  <si>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</si>
  <si>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</si>
  <si>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</si>
  <si>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</si>
  <si>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</si>
  <si>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</si>
  <si>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</si>
  <si>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</si>
  <si>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</si>
  <si>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</si>
  <si>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</si>
  <si>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</si>
  <si>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</si>
  <si>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</si>
  <si>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</si>
  <si>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</si>
  <si>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</si>
  <si>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</si>
  <si>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</si>
  <si>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</si>
  <si>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</si>
  <si>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</si>
  <si>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</si>
  <si>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</si>
  <si>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</si>
  <si>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</si>
  <si>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</si>
  <si>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</si>
  <si>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</si>
  <si>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</si>
  <si>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</si>
  <si>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</si>
  <si>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</si>
  <si>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</si>
  <si>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</si>
  <si>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</si>
  <si>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</si>
  <si>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</si>
  <si>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</si>
  <si>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</si>
  <si>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</si>
  <si>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</si>
  <si>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</si>
  <si>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</si>
  <si>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</si>
  <si>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</si>
  <si>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</si>
  <si>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</si>
  <si>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</si>
  <si>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</si>
  <si>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</si>
  <si>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</si>
  <si>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</si>
  <si>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</si>
  <si>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</si>
  <si>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</si>
  <si>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</si>
  <si>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</si>
  <si>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</si>
  <si>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</si>
  <si>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</si>
  <si>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</si>
  <si>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</si>
  <si>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</si>
  <si>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</si>
  <si>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</si>
  <si>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</si>
  <si>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</si>
  <si>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</si>
  <si>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</si>
  <si>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</si>
  <si>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</si>
  <si>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</si>
  <si>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</si>
  <si>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</si>
  <si>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</si>
  <si>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</si>
  <si>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</si>
  <si>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</si>
  <si>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</si>
  <si>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</si>
  <si>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</si>
  <si>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</si>
  <si>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</si>
  <si>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</si>
  <si>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</si>
  <si>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</si>
  <si>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</si>
  <si>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</si>
  <si>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</si>
  <si>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</si>
  <si>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</si>
  <si>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</si>
  <si>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</si>
  <si>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</si>
  <si>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</si>
  <si>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</si>
  <si>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</si>
  <si>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</si>
  <si>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</si>
  <si>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</si>
  <si>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</si>
  <si>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</si>
  <si>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</si>
  <si>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</si>
  <si>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</si>
  <si>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</si>
  <si>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</si>
  <si>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</si>
  <si>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</si>
  <si>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</si>
  <si>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</si>
  <si>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</si>
  <si>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</si>
  <si>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</si>
  <si>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</si>
  <si>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</si>
  <si>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</si>
  <si>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</si>
  <si>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</si>
  <si>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</si>
  <si>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</si>
  <si>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</si>
  <si>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</si>
  <si>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</si>
  <si>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</si>
  <si>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</si>
  <si>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</si>
  <si>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</si>
  <si>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</si>
  <si>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</si>
  <si>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</si>
  <si>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</si>
  <si>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</si>
  <si>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</si>
  <si>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</si>
  <si>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</si>
  <si>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</si>
  <si>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</si>
  <si>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</si>
  <si>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</si>
  <si>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</si>
  <si>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</si>
  <si>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</si>
  <si>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</si>
  <si>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</si>
  <si>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</si>
  <si>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</si>
  <si>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</si>
  <si>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</si>
  <si>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</si>
  <si>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</si>
  <si>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</si>
  <si>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</si>
  <si>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</si>
  <si>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</si>
  <si>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</si>
  <si>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</si>
  <si>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</si>
  <si>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</si>
  <si>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</si>
  <si>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</si>
  <si>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</si>
  <si>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</si>
  <si>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</si>
  <si>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</si>
  <si>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</si>
  <si>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</si>
  <si>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</si>
  <si>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</si>
  <si>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</si>
  <si>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</si>
  <si>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</si>
  <si>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</si>
  <si>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</si>
  <si>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</si>
  <si>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</si>
  <si>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</si>
  <si>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</si>
  <si>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</si>
  <si>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</si>
  <si>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</si>
  <si>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</si>
  <si>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</si>
  <si>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</si>
  <si>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</si>
  <si>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</si>
  <si>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</si>
  <si>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</si>
  <si>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</si>
  <si>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</si>
  <si>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</si>
  <si>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</si>
  <si>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</si>
  <si>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</si>
  <si>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</si>
  <si>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</si>
  <si>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</si>
  <si>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</si>
  <si>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</si>
  <si>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</si>
  <si>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</si>
  <si>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</si>
  <si>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</si>
  <si>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</si>
  <si>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</si>
  <si>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</si>
  <si>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</si>
  <si>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</si>
  <si>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</si>
  <si>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</si>
  <si>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</si>
  <si>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</si>
  <si>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</si>
  <si>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</si>
  <si>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</si>
  <si>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</si>
  <si>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</si>
  <si>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</si>
  <si>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</si>
  <si>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</si>
  <si>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</si>
  <si>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</si>
  <si>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</si>
  <si>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</si>
  <si>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</si>
  <si>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</si>
  <si>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</si>
  <si>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</si>
  <si>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</si>
  <si>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</si>
  <si>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</si>
  <si>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</si>
  <si>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</si>
  <si>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</si>
  <si>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</si>
  <si>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</si>
  <si>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</si>
  <si>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</si>
  <si>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</si>
  <si>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</si>
  <si>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</si>
  <si>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</si>
  <si>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</si>
  <si>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</si>
  <si>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</si>
  <si>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</si>
  <si>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</si>
  <si>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</si>
  <si>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</si>
  <si>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</si>
  <si>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</si>
  <si>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</si>
  <si>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</si>
  <si>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</si>
  <si>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</si>
  <si>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</si>
  <si>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</si>
  <si>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</si>
  <si>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</si>
  <si>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</si>
  <si>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</si>
  <si>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</si>
  <si>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</si>
  <si>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</si>
  <si>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</si>
  <si>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</si>
  <si>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</si>
  <si>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</si>
  <si>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</si>
  <si>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</si>
  <si>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</si>
  <si>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</si>
  <si>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</si>
  <si>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</si>
  <si>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</si>
  <si>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</si>
  <si>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</si>
  <si>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</si>
  <si>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</si>
  <si>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</si>
  <si>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</si>
  <si>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</si>
  <si>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</si>
  <si>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</si>
  <si>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</si>
  <si>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</si>
  <si>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</si>
  <si>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</si>
  <si>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</si>
  <si>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</si>
  <si>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</si>
  <si>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</si>
  <si>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</si>
  <si>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</si>
  <si>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</si>
  <si>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</si>
  <si>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</si>
  <si>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</si>
  <si>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</si>
  <si>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</si>
  <si>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</si>
  <si>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</si>
  <si>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</si>
  <si>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</si>
  <si>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</si>
  <si>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</si>
  <si>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</si>
  <si>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</si>
  <si>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</si>
  <si>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</si>
  <si>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</si>
  <si>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</si>
  <si>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</si>
  <si>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</si>
  <si>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</si>
  <si>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</si>
  <si>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</si>
  <si>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</si>
  <si>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</si>
  <si>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</si>
  <si>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</si>
  <si>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</si>
  <si>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</si>
  <si>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</si>
  <si>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</si>
  <si>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</si>
  <si>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</si>
  <si>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</si>
  <si>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</si>
  <si>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</si>
  <si>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</si>
  <si>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</si>
  <si>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</si>
  <si>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</si>
  <si>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</si>
  <si>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</si>
  <si>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</si>
  <si>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</si>
  <si>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</si>
  <si>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</si>
  <si>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</si>
  <si>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</si>
  <si>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</si>
  <si>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</si>
  <si>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</si>
  <si>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</si>
  <si>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</si>
  <si>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</si>
  <si>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</si>
  <si>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</si>
  <si>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</si>
  <si>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</si>
  <si>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</si>
  <si>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</si>
  <si>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</si>
  <si>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</si>
  <si>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</si>
  <si>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</si>
  <si>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</si>
  <si>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</si>
  <si>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</si>
  <si>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</si>
  <si>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</si>
  <si>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</si>
  <si>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</si>
  <si>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</si>
  <si>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</si>
  <si>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</si>
  <si>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</si>
  <si>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</si>
  <si>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</si>
  <si>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</si>
  <si>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</si>
  <si>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</si>
  <si>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</si>
  <si>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</si>
  <si>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</si>
  <si>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</si>
  <si>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</si>
  <si>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</si>
  <si>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</si>
  <si>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</si>
  <si>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</si>
  <si>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</si>
  <si>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</si>
  <si>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</si>
  <si>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</si>
  <si>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</si>
  <si>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</si>
  <si>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</si>
  <si>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</si>
  <si>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</si>
  <si>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</si>
  <si>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</si>
  <si>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</si>
  <si>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</si>
  <si>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</si>
  <si>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</si>
  <si>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</si>
  <si>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</si>
  <si>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</si>
  <si>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</si>
  <si>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</si>
  <si>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</si>
  <si>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</si>
  <si>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</si>
  <si>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</si>
  <si>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</si>
  <si>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</si>
  <si>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</si>
  <si>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</si>
  <si>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</si>
  <si>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</si>
  <si>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</si>
  <si>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</si>
  <si>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</si>
  <si>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</si>
  <si>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</si>
  <si>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</si>
  <si>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</si>
  <si>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</si>
  <si>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</si>
  <si>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</si>
  <si>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</si>
  <si>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</si>
  <si>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</si>
  <si>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</si>
  <si>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</si>
  <si>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</si>
  <si>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</si>
  <si>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</si>
  <si>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</si>
  <si>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</si>
  <si>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</si>
  <si>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</si>
  <si>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</si>
  <si>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</si>
  <si>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</si>
  <si>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</si>
  <si>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</si>
  <si>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</si>
  <si>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</si>
  <si>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</si>
  <si>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</si>
  <si>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</si>
  <si>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</si>
  <si>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</si>
  <si>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</si>
  <si>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</si>
  <si>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</si>
  <si>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</si>
  <si>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</si>
  <si>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</si>
  <si>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</si>
  <si>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</si>
  <si>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</si>
  <si>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</si>
  <si>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</si>
  <si>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</si>
  <si>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</si>
  <si>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</si>
  <si>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</si>
  <si>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</si>
  <si>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</si>
  <si>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</si>
  <si>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</si>
  <si>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</si>
  <si>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</si>
  <si>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</si>
  <si>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</si>
  <si>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</si>
  <si>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</si>
  <si>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</si>
  <si>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</si>
  <si>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</si>
  <si>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</si>
  <si>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</si>
  <si>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</si>
  <si>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</si>
  <si>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</si>
  <si>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</si>
  <si>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</si>
  <si>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</si>
  <si>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</si>
  <si>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</si>
  <si>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</si>
  <si>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</si>
  <si>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</si>
  <si>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</si>
  <si>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</si>
  <si>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</si>
  <si>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</si>
  <si>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</si>
  <si>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</si>
  <si>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</si>
  <si>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</si>
  <si>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</si>
  <si>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</si>
  <si>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</si>
  <si>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</si>
  <si>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</si>
  <si>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</si>
  <si>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</si>
  <si>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</si>
  <si>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</si>
  <si>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</si>
  <si>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</si>
  <si>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</si>
  <si>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</si>
  <si>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</si>
  <si>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</si>
  <si>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</si>
  <si>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</si>
  <si>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</si>
  <si>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</si>
  <si>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</si>
  <si>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</si>
  <si>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</si>
  <si>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</si>
  <si>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</si>
  <si>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</si>
  <si>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</si>
  <si>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</si>
  <si>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</si>
  <si>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</si>
  <si>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</si>
  <si>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</si>
  <si>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</si>
  <si>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</si>
  <si>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</si>
  <si>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</si>
  <si>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</si>
  <si>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</si>
  <si>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</si>
  <si>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</si>
  <si>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</si>
  <si>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</si>
  <si>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</si>
  <si>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</si>
  <si>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</si>
  <si>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</si>
  <si>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</si>
  <si>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</si>
  <si>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</si>
  <si>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</si>
  <si>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</si>
  <si>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</si>
  <si>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</si>
  <si>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</si>
  <si>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</si>
  <si>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</si>
  <si>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</si>
  <si>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</si>
  <si>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</si>
  <si>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</si>
  <si>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</si>
  <si>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</si>
  <si>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</si>
  <si>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</si>
  <si>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</si>
  <si>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</si>
  <si>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</si>
  <si>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</si>
  <si>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</si>
  <si>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</si>
  <si>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</si>
  <si>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</si>
  <si>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</si>
  <si>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</si>
  <si>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</si>
  <si>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</si>
  <si>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</si>
  <si>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</si>
  <si>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</si>
  <si>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</si>
  <si>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</si>
  <si>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</si>
  <si>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</si>
  <si>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</si>
  <si>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</si>
  <si>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</si>
  <si>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</si>
  <si>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</si>
  <si>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</si>
  <si>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</si>
  <si>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</si>
  <si>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</si>
  <si>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</si>
  <si>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</si>
  <si>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</si>
  <si>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</si>
  <si>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</si>
  <si>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</si>
  <si>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</si>
  <si>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</si>
  <si>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</si>
  <si>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</si>
  <si>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</si>
  <si>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</si>
  <si>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</si>
  <si>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</si>
  <si>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</si>
  <si>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</si>
  <si>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</si>
  <si>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</si>
  <si>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</si>
  <si>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</si>
  <si>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</si>
  <si>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</si>
  <si>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</si>
  <si>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</si>
  <si>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</si>
  <si>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</si>
  <si>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</si>
  <si>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</si>
  <si>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</si>
  <si>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</si>
  <si>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</si>
  <si>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</si>
  <si>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</si>
  <si>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</si>
  <si>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</si>
  <si>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</si>
  <si>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</si>
  <si>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</si>
  <si>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</si>
  <si>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</si>
  <si>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</si>
  <si>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</si>
  <si>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</si>
  <si>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</si>
  <si>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</si>
  <si>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</si>
  <si>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</si>
  <si>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</si>
  <si>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</si>
  <si>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</si>
  <si>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</si>
  <si>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</si>
  <si>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</si>
  <si>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</si>
  <si>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</si>
  <si>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</si>
  <si>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</si>
  <si>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</si>
  <si>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</si>
  <si>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</si>
  <si>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</si>
  <si>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</si>
  <si>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</si>
  <si>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</si>
  <si>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</si>
  <si>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</si>
  <si>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</si>
  <si>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</si>
  <si>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</si>
  <si>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</si>
  <si>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</si>
  <si>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</si>
  <si>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</si>
  <si>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</si>
  <si>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</si>
  <si>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</si>
  <si>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</si>
  <si>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</si>
  <si>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</si>
  <si>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</si>
  <si>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</si>
  <si>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</si>
  <si>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</si>
  <si>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</si>
  <si>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</si>
  <si>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</si>
  <si>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</si>
  <si>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</si>
  <si>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</si>
  <si>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</si>
  <si>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</si>
  <si>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</si>
  <si>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</si>
  <si>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</si>
  <si>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</si>
  <si>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</si>
  <si>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</si>
  <si>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</si>
  <si>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</si>
  <si>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</si>
  <si>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</si>
  <si>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</si>
  <si>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</si>
  <si>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</si>
  <si>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</si>
  <si>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</si>
  <si>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</si>
  <si>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</si>
  <si>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</si>
  <si>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</si>
  <si>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</si>
  <si>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</si>
  <si>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</si>
  <si>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</si>
  <si>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</si>
  <si>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</si>
  <si>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</si>
  <si>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</si>
  <si>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</si>
  <si>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</si>
  <si>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</si>
  <si>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</si>
  <si>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</si>
  <si>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</si>
  <si>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</si>
  <si>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</si>
  <si>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</si>
  <si>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</si>
  <si>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</si>
  <si>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</si>
  <si>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</si>
  <si>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</si>
  <si>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</si>
  <si>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</si>
  <si>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</si>
  <si>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</si>
  <si>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</si>
  <si>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</si>
  <si>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</si>
  <si>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</si>
  <si>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</si>
  <si>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</si>
  <si>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</si>
  <si>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</si>
  <si>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</si>
  <si>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</si>
  <si>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</si>
  <si>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</si>
  <si>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</si>
  <si>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</si>
  <si>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</si>
  <si>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</si>
  <si>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</si>
  <si>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</si>
  <si>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</si>
  <si>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</si>
  <si>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</si>
  <si>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</si>
  <si>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</si>
  <si>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</si>
  <si>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</si>
  <si>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</si>
  <si>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</si>
  <si>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</si>
  <si>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</si>
  <si>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</si>
  <si>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</si>
  <si>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</si>
  <si>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</si>
  <si>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</si>
  <si>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</si>
  <si>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</si>
  <si>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</si>
  <si>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</si>
  <si>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</si>
  <si>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</si>
  <si>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</si>
  <si>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</si>
  <si>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</si>
  <si>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</si>
  <si>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</si>
  <si>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</si>
  <si>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</si>
  <si>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</si>
  <si>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</si>
  <si>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</si>
  <si>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</si>
  <si>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</si>
  <si>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</si>
  <si>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</si>
  <si>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</si>
  <si>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</si>
  <si>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</si>
  <si>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</si>
  <si>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</si>
  <si>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</si>
  <si>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</si>
  <si>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</si>
  <si>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</si>
  <si>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</si>
  <si>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</si>
  <si>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</si>
  <si>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</si>
  <si>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</si>
  <si>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</si>
  <si>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</si>
  <si>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</si>
  <si>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</si>
  <si>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</si>
  <si>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</si>
  <si>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</si>
  <si>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</si>
  <si>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</si>
  <si>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</si>
  <si>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</si>
  <si>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</si>
  <si>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</si>
  <si>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</si>
  <si>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</si>
  <si>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</si>
  <si>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</si>
  <si>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</si>
  <si>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</si>
  <si>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</si>
  <si>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</si>
  <si>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</si>
  <si>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</si>
  <si>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</si>
  <si>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</si>
  <si>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</si>
  <si>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</si>
  <si>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</si>
  <si>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</si>
  <si>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</si>
  <si>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</si>
  <si>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</si>
  <si>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</si>
  <si>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</si>
  <si>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</si>
  <si>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</si>
  <si>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</si>
  <si>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</si>
  <si>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</si>
  <si>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</si>
  <si>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</si>
  <si>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</si>
  <si>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</si>
  <si>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</si>
  <si>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</si>
  <si>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</si>
  <si>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</si>
  <si>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</si>
  <si>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</si>
  <si>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</si>
  <si>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</si>
  <si>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</si>
  <si>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</si>
  <si>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</si>
  <si>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</si>
  <si>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</si>
  <si>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</si>
  <si>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</si>
  <si>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</si>
  <si>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</si>
  <si>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</si>
  <si>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</si>
  <si>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</si>
  <si>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</si>
  <si>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</si>
  <si>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</si>
  <si>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</si>
  <si>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</si>
  <si>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</si>
  <si>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</si>
  <si>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</si>
  <si>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</si>
  <si>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</si>
  <si>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</si>
  <si>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</si>
  <si>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</si>
  <si>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</si>
  <si>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</si>
  <si>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</si>
  <si>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</si>
  <si>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</si>
  <si>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</si>
  <si>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</si>
  <si>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</si>
  <si>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</si>
  <si>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</si>
  <si>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</si>
  <si>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</si>
  <si>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</si>
  <si>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</si>
  <si>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</si>
  <si>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</si>
  <si>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</si>
  <si>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</si>
  <si>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</si>
  <si>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</si>
  <si>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</si>
  <si>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</si>
  <si>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</si>
  <si>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</si>
  <si>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</si>
  <si>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</si>
  <si>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</si>
  <si>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</si>
  <si>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</si>
  <si>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</si>
  <si>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</si>
  <si>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</si>
  <si>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</si>
  <si>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</si>
  <si>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</si>
  <si>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</si>
  <si>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</si>
  <si>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</si>
  <si>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</si>
  <si>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</si>
  <si>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</si>
  <si>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</si>
  <si>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</si>
  <si>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</si>
  <si>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</si>
  <si>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</si>
  <si>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</si>
  <si>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</si>
  <si>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</si>
  <si>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</si>
  <si>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</si>
  <si>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</si>
  <si>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</si>
  <si>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</si>
  <si>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</si>
  <si>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</si>
  <si>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</si>
  <si>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</si>
  <si>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</si>
  <si>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</si>
  <si>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</si>
  <si>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</si>
  <si>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</si>
  <si>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</si>
  <si>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</si>
  <si>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</si>
  <si>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</si>
  <si>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</si>
  <si>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</si>
  <si>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</si>
  <si>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</si>
  <si>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</si>
  <si>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</si>
  <si>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</si>
  <si>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</si>
  <si>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</si>
  <si>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</si>
  <si>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</si>
  <si>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</si>
  <si>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</si>
  <si>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</si>
  <si>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</si>
  <si>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</si>
  <si>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</si>
  <si>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</si>
  <si>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</si>
  <si>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</si>
  <si>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</si>
  <si>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</si>
  <si>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</si>
  <si>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</si>
  <si>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</si>
  <si>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</si>
  <si>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</si>
  <si>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</si>
  <si>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</si>
  <si>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</si>
  <si>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</si>
  <si>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</si>
  <si>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</si>
  <si>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</si>
  <si>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</si>
  <si>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</si>
  <si>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</si>
  <si>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</si>
  <si>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</si>
  <si>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</si>
  <si>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</si>
  <si>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</si>
  <si>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</si>
  <si>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</si>
  <si>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</si>
  <si>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</si>
  <si>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</si>
  <si>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</si>
  <si>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</si>
  <si>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</si>
  <si>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</si>
  <si>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</si>
  <si>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</si>
  <si>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</si>
  <si>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</si>
  <si>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</si>
  <si>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</si>
  <si>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</si>
  <si>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</si>
  <si>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</si>
  <si>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</si>
  <si>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</si>
  <si>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</si>
  <si>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</si>
  <si>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</si>
  <si>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</si>
  <si>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</si>
  <si>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</si>
  <si>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</si>
  <si>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</si>
  <si>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</si>
  <si>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</si>
  <si>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</si>
  <si>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</si>
  <si>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</si>
  <si>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</si>
  <si>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</si>
  <si>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</si>
  <si>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</si>
  <si>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</si>
  <si>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</si>
  <si>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</si>
  <si>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</si>
  <si>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</si>
  <si>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</si>
  <si>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</si>
  <si>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</si>
  <si>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</si>
  <si>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</si>
  <si>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</si>
  <si>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</si>
  <si>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</si>
  <si>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</si>
  <si>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</si>
  <si>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</si>
  <si>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</si>
  <si>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</si>
  <si>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</si>
  <si>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</si>
  <si>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</si>
  <si>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</si>
  <si>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</si>
  <si>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</si>
  <si>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</si>
  <si>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</si>
  <si>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</si>
  <si>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</si>
  <si>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</si>
  <si>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</si>
  <si>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</si>
  <si>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</si>
  <si>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</si>
  <si>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</si>
  <si>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</si>
  <si>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</si>
  <si>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</si>
  <si>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</si>
  <si>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</si>
  <si>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</si>
  <si>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</si>
  <si>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</si>
  <si>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</si>
  <si>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</si>
  <si>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</si>
  <si>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</si>
  <si>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</si>
  <si>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</si>
  <si>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</si>
  <si>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</si>
  <si>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</si>
  <si>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</si>
  <si>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</si>
  <si>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</si>
  <si>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</si>
  <si>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</si>
  <si>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</si>
  <si>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</si>
  <si>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</si>
  <si>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</si>
  <si>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</si>
  <si>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</si>
  <si>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</si>
  <si>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</si>
  <si>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</si>
  <si>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</si>
  <si>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</si>
  <si>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</si>
  <si>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</si>
  <si>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</si>
  <si>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</si>
  <si>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</si>
  <si>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</si>
  <si>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</si>
  <si>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</si>
  <si>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</si>
  <si>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</si>
  <si>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</si>
  <si>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</si>
  <si>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</si>
  <si>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</si>
  <si>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</si>
  <si>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</si>
  <si>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</si>
  <si>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</si>
  <si>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</si>
  <si>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</si>
  <si>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</si>
  <si>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</si>
  <si>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</si>
  <si>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</si>
  <si>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</si>
  <si>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</si>
  <si>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</si>
  <si>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</si>
  <si>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</si>
  <si>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</si>
  <si>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</si>
  <si>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</si>
  <si>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</si>
  <si>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</si>
  <si>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</si>
  <si>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</si>
  <si>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</si>
  <si>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</si>
  <si>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</si>
  <si>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</si>
  <si>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</si>
  <si>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</si>
  <si>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</si>
  <si>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</si>
  <si>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</si>
  <si>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</si>
  <si>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</si>
  <si>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</si>
  <si>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</si>
  <si>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</si>
  <si>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</si>
  <si>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</si>
  <si>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</si>
  <si>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</si>
  <si>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</si>
  <si>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</si>
  <si>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</si>
  <si>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</si>
  <si>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</si>
  <si>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</si>
  <si>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</si>
  <si>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</si>
  <si>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</si>
  <si>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</si>
  <si>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</si>
  <si>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</si>
  <si>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</si>
  <si>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</si>
  <si>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</si>
  <si>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</si>
  <si>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</si>
  <si>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</si>
  <si>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</si>
  <si>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</si>
  <si>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</si>
  <si>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</si>
  <si>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</si>
  <si>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</si>
  <si>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</si>
  <si>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</si>
  <si>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</si>
  <si>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</si>
  <si>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</si>
  <si>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</si>
  <si>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</si>
  <si>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</si>
  <si>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</si>
  <si>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</si>
  <si>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</si>
  <si>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</si>
  <si>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</si>
  <si>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</si>
  <si>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</si>
  <si>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</si>
  <si>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</si>
  <si>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</si>
  <si>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</si>
  <si>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</si>
  <si>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</si>
  <si>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</si>
  <si>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</si>
  <si>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</si>
  <si>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</si>
  <si>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</si>
  <si>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</si>
  <si>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</si>
  <si>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</si>
  <si>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</si>
  <si>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</si>
  <si>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</si>
  <si>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</si>
  <si>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</si>
  <si>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</si>
  <si>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</si>
  <si>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</si>
  <si>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</si>
  <si>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</si>
  <si>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</si>
  <si>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</si>
  <si>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</si>
  <si>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</si>
  <si>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</si>
  <si>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</si>
  <si>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</si>
  <si>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</si>
  <si>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</si>
  <si>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</si>
  <si>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</si>
  <si>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</si>
  <si>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</si>
  <si>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</si>
  <si>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</si>
  <si>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</si>
  <si>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</si>
  <si>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</si>
  <si>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</si>
  <si>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</si>
  <si>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</si>
  <si>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</si>
  <si>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</si>
  <si>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</si>
  <si>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</si>
  <si>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</si>
  <si>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</si>
  <si>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</si>
  <si>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</si>
  <si>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</si>
  <si>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</si>
  <si>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</si>
  <si>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</si>
  <si>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</si>
  <si>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</si>
  <si>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</si>
  <si>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</si>
  <si>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</si>
  <si>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</si>
  <si>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</si>
  <si>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</si>
  <si>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</si>
  <si>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</si>
  <si>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</si>
  <si>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</si>
  <si>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</si>
  <si>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</si>
  <si>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</si>
  <si>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</si>
  <si>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</si>
  <si>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</si>
  <si>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</si>
  <si>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</si>
  <si>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</si>
  <si>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</si>
  <si>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</si>
  <si>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</si>
  <si>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</si>
  <si>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</si>
  <si>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</si>
  <si>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</si>
  <si>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</si>
  <si>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</si>
  <si>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</si>
  <si>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</si>
  <si>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</si>
  <si>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</si>
  <si>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</si>
  <si>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</si>
  <si>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</si>
  <si>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</si>
  <si>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</si>
  <si>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</si>
  <si>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</si>
  <si>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</si>
  <si>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</si>
  <si>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</si>
  <si>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</si>
  <si>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</si>
  <si>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</si>
  <si>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</si>
  <si>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</si>
  <si>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</si>
  <si>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</si>
  <si>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</si>
  <si>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</si>
  <si>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</si>
  <si>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</si>
  <si>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</si>
  <si>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</si>
  <si>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</si>
  <si>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</si>
  <si>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</si>
  <si>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</si>
  <si>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</si>
  <si>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</si>
  <si>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</si>
  <si>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</si>
  <si>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</si>
  <si>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</si>
  <si>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</si>
  <si>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</si>
  <si>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</si>
  <si>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</si>
  <si>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</si>
  <si>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</si>
  <si>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</si>
  <si>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</si>
  <si>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</si>
  <si>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</si>
  <si>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</si>
  <si>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</si>
  <si>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</si>
  <si>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</si>
  <si>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</si>
  <si>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</si>
  <si>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</si>
  <si>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</si>
  <si>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</si>
  <si>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</si>
  <si>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</si>
  <si>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</si>
  <si>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</si>
  <si>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</si>
  <si>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</si>
  <si>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</si>
  <si>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</si>
  <si>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</si>
  <si>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</si>
  <si>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</si>
  <si>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</si>
  <si>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</si>
  <si>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</si>
  <si>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</si>
  <si>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</si>
  <si>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</si>
  <si>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</si>
  <si>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</si>
  <si>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</si>
  <si>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</si>
  <si>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</si>
  <si>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</si>
  <si>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</si>
  <si>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</si>
  <si>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</si>
  <si>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</si>
  <si>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</si>
  <si>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</si>
  <si>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</si>
  <si>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</si>
  <si>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</si>
  <si>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</si>
  <si>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</si>
  <si>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</si>
  <si>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</si>
  <si>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</si>
  <si>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</si>
  <si>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</si>
  <si>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</si>
  <si>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</si>
  <si>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</si>
  <si>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</si>
  <si>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</si>
  <si>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</si>
  <si>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</si>
  <si>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</si>
  <si>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</si>
  <si>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</si>
  <si>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</si>
  <si>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</si>
  <si>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</si>
  <si>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</si>
  <si>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</si>
  <si>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</si>
  <si>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</si>
  <si>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</si>
  <si>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</si>
  <si>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</si>
  <si>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</si>
  <si>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</si>
  <si>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</si>
  <si>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</si>
  <si>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</si>
  <si>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</si>
  <si>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</si>
  <si>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</si>
  <si>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</si>
  <si>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</si>
  <si>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</si>
  <si>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</si>
  <si>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</si>
  <si>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</si>
  <si>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</si>
  <si>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</si>
  <si>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</si>
  <si>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</si>
  <si>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</si>
  <si>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</si>
  <si>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</si>
  <si>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</si>
  <si>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</si>
  <si>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</si>
  <si>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</si>
  <si>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</si>
  <si>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</si>
  <si>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</si>
  <si>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</si>
  <si>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</si>
  <si>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</si>
  <si>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</si>
  <si>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</si>
  <si>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</si>
  <si>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</si>
  <si>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</si>
  <si>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</si>
  <si>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</si>
  <si>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</si>
  <si>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</si>
  <si>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</si>
  <si>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</si>
  <si>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</si>
  <si>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</si>
  <si>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</si>
  <si>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</si>
  <si>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</si>
  <si>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</si>
  <si>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</si>
  <si>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</si>
  <si>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</si>
  <si>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</si>
  <si>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</si>
  <si>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</si>
  <si>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</si>
  <si>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</si>
  <si>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</si>
  <si>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</si>
  <si>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</si>
  <si>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</si>
  <si>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</si>
  <si>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</si>
  <si>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</si>
  <si>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</si>
  <si>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</si>
  <si>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</si>
  <si>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</si>
  <si>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</si>
  <si>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</si>
  <si>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</si>
  <si>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</si>
  <si>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</si>
  <si>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</si>
  <si>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</si>
  <si>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</si>
  <si>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</si>
  <si>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</si>
  <si>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</si>
  <si>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</si>
  <si>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</si>
  <si>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</si>
  <si>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</si>
  <si>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</si>
  <si>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</si>
  <si>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</si>
  <si>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</si>
  <si>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</si>
  <si>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</si>
  <si>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</si>
  <si>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</si>
  <si>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</si>
  <si>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</si>
  <si>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</si>
  <si>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</si>
  <si>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</si>
  <si>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</si>
  <si>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</si>
  <si>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</si>
  <si>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</si>
  <si>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</si>
  <si>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</si>
  <si>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</si>
  <si>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</si>
  <si>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</si>
  <si>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</si>
  <si>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</si>
  <si>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</si>
  <si>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</si>
  <si>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</si>
  <si>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</si>
  <si>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</si>
  <si>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</si>
  <si>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</si>
  <si>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</si>
  <si>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</si>
  <si>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</si>
  <si>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</si>
  <si>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</si>
  <si>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</si>
  <si>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</si>
  <si>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</si>
  <si>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</si>
  <si>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</si>
  <si>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</si>
  <si>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</si>
  <si>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</si>
  <si>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</si>
  <si>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</si>
  <si>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</si>
  <si>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</si>
  <si>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</si>
  <si>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</si>
  <si>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</si>
  <si>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</si>
  <si>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</si>
  <si>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</si>
  <si>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</si>
  <si>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</si>
  <si>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</si>
  <si>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</si>
  <si>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</si>
  <si>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</si>
  <si>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</si>
  <si>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</si>
  <si>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</si>
  <si>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</si>
  <si>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</si>
  <si>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</si>
  <si>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</si>
  <si>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</si>
  <si>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</si>
  <si>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</si>
  <si>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</si>
  <si>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</si>
  <si>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</si>
  <si>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</si>
  <si>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</si>
  <si>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</si>
  <si>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</si>
  <si>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</si>
  <si>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</si>
  <si>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</si>
  <si>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</si>
  <si>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</si>
  <si>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</si>
  <si>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</si>
  <si>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</si>
  <si>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</si>
  <si>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</si>
  <si>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</si>
  <si>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</si>
  <si>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</si>
  <si>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</si>
  <si>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</si>
  <si>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</si>
  <si>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</si>
  <si>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</si>
  <si>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</si>
  <si>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</si>
  <si>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</si>
  <si>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</si>
  <si>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</si>
  <si>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</si>
  <si>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</si>
  <si>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</si>
  <si>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</si>
  <si>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</si>
  <si>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</si>
  <si>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</si>
  <si>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</si>
  <si>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</si>
  <si>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</si>
  <si>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</si>
  <si>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</si>
  <si>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</si>
  <si>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</si>
  <si>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</si>
  <si>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</si>
  <si>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</si>
  <si>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</si>
  <si>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</si>
  <si>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</si>
  <si>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</si>
  <si>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</si>
  <si>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</si>
  <si>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</si>
  <si>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</si>
  <si>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</si>
  <si>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</si>
  <si>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</si>
  <si>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</si>
  <si>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</si>
  <si>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</si>
  <si>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</si>
  <si>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</si>
  <si>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</si>
  <si>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</si>
  <si>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</si>
  <si>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</si>
  <si>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</si>
  <si>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</si>
  <si>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</si>
  <si>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</si>
  <si>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</si>
  <si>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</si>
  <si>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</si>
  <si>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</si>
  <si>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</si>
  <si>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</si>
  <si>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</si>
  <si>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</si>
  <si>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</si>
  <si>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</si>
  <si>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</si>
  <si>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</si>
  <si>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</si>
  <si>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</si>
  <si>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</si>
  <si>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</si>
  <si>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</si>
  <si>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</si>
  <si>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</si>
  <si>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</si>
  <si>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</si>
  <si>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</si>
  <si>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</si>
  <si>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</si>
  <si>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</si>
  <si>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</si>
  <si>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</si>
  <si>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</si>
  <si>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</si>
  <si>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</si>
  <si>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</si>
  <si>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</si>
  <si>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</si>
  <si>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</si>
  <si>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</si>
  <si>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</si>
  <si>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</si>
  <si>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</si>
  <si>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</si>
  <si>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</si>
  <si>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</si>
  <si>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</si>
  <si>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</si>
  <si>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</si>
  <si>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</si>
  <si>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</si>
  <si>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</si>
  <si>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</si>
  <si>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</si>
  <si>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</si>
  <si>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</si>
  <si>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</si>
  <si>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</si>
  <si>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</si>
  <si>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</si>
  <si>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</si>
  <si>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</si>
  <si>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</si>
  <si>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</si>
  <si>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</si>
  <si>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</si>
  <si>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</si>
  <si>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</si>
  <si>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</si>
  <si>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</si>
  <si>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</si>
  <si>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</si>
  <si>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</si>
  <si>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</si>
  <si>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</si>
  <si>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</si>
  <si>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</si>
  <si>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</si>
  <si>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</si>
  <si>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</si>
  <si>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</si>
  <si>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</si>
  <si>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</si>
  <si>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</si>
  <si>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</si>
  <si>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</si>
  <si>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</si>
  <si>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</si>
  <si>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</si>
  <si>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</si>
  <si>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</si>
  <si>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</si>
  <si>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</si>
  <si>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</si>
  <si>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</si>
  <si>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</si>
  <si>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</si>
  <si>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</si>
  <si>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</si>
  <si>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</si>
  <si>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</si>
  <si>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</si>
  <si>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</si>
  <si>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</si>
  <si>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</si>
  <si>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</si>
  <si>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</si>
  <si>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</si>
  <si>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</si>
  <si>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</si>
  <si>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</si>
  <si>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</si>
  <si>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</si>
  <si>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</si>
  <si>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</si>
  <si>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</si>
  <si>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</si>
  <si>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</si>
  <si>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</si>
  <si>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</si>
  <si>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</si>
  <si>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</si>
  <si>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</si>
  <si>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</si>
  <si>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</si>
  <si>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</si>
  <si>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</si>
  <si>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</si>
  <si>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</si>
  <si>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</si>
  <si>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</si>
  <si>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</si>
  <si>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</si>
  <si>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</si>
  <si>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</si>
  <si>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</si>
  <si>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</si>
  <si>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</si>
  <si>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</si>
  <si>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</si>
  <si>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</si>
  <si>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</si>
  <si>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</si>
  <si>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</si>
  <si>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</si>
  <si>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</si>
  <si>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</si>
  <si>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</si>
  <si>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</si>
  <si>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</si>
  <si>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</si>
  <si>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</si>
  <si>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</si>
  <si>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</si>
  <si>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</si>
  <si>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</si>
  <si>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</si>
  <si>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</si>
  <si>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</si>
  <si>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</si>
  <si>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</si>
  <si>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</si>
  <si>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</si>
  <si>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</si>
  <si>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</si>
  <si>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</si>
  <si>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</si>
  <si>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</si>
  <si>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</si>
  <si>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</si>
  <si>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</si>
  <si>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</si>
  <si>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</si>
  <si>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</si>
  <si>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</si>
  <si>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</si>
  <si>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</si>
  <si>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</si>
  <si>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</si>
  <si>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</si>
  <si>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</si>
  <si>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</si>
  <si>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</si>
  <si>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</si>
  <si>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</si>
  <si>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</si>
  <si>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</si>
  <si>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</si>
  <si>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</si>
  <si>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</si>
  <si>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</si>
  <si>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</si>
  <si>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</si>
  <si>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</si>
  <si>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</si>
  <si>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</si>
  <si>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</si>
  <si>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</si>
  <si>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</si>
  <si>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</si>
  <si>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</si>
  <si>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</si>
  <si>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</si>
  <si>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</si>
  <si>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</si>
  <si>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</si>
  <si>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</si>
  <si>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</si>
  <si>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</si>
  <si>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</si>
  <si>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</si>
  <si>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</si>
  <si>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</si>
  <si>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</si>
  <si>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</si>
  <si>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</si>
  <si>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</si>
  <si>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</si>
  <si>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</si>
  <si>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</si>
  <si>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</si>
  <si>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</si>
  <si>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</si>
  <si>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</si>
  <si>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</si>
  <si>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</si>
  <si>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</si>
  <si>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</si>
  <si>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</si>
  <si>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</si>
  <si>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</si>
  <si>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</si>
  <si>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</si>
  <si>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</si>
  <si>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</si>
  <si>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</si>
  <si>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</si>
  <si>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</si>
  <si>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</si>
  <si>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</si>
  <si>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</si>
  <si>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</si>
  <si>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</si>
  <si>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</si>
  <si>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</si>
  <si>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</si>
  <si>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</si>
  <si>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</si>
  <si>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</si>
  <si>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</si>
  <si>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</si>
  <si>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</si>
  <si>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</si>
  <si>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</si>
  <si>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</si>
  <si>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</si>
  <si>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</si>
  <si>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</si>
  <si>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</si>
  <si>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</si>
  <si>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</si>
  <si>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</si>
  <si>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</si>
  <si>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</si>
  <si>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</si>
  <si>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</si>
  <si>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</si>
  <si>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</si>
  <si>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</si>
  <si>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</si>
  <si>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</si>
  <si>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</si>
  <si>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</si>
  <si>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</si>
  <si>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</si>
  <si>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</si>
  <si>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</si>
  <si>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</si>
  <si>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</si>
  <si>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</si>
  <si>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</si>
  <si>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</si>
  <si>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</si>
  <si>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</si>
  <si>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</si>
  <si>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</si>
  <si>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</si>
  <si>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</si>
  <si>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</si>
  <si>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</si>
  <si>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</si>
  <si>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</si>
  <si>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</si>
  <si>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</si>
  <si>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</si>
  <si>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</si>
  <si>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</si>
  <si>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</si>
  <si>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</si>
  <si>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</si>
  <si>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</si>
  <si>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</si>
  <si>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</si>
  <si>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</si>
  <si>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</si>
  <si>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</si>
  <si>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</si>
  <si>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</si>
  <si>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</si>
  <si>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</si>
  <si>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</si>
  <si>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</si>
  <si>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</si>
  <si>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</si>
  <si>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</si>
  <si>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</si>
  <si>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</si>
  <si>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</si>
  <si>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</si>
  <si>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</si>
  <si>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</si>
  <si>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</si>
  <si>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</si>
  <si>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</si>
  <si>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</si>
  <si>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</si>
  <si>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</si>
  <si>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</si>
  <si>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</si>
  <si>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</si>
  <si>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</si>
  <si>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</si>
  <si>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</si>
  <si>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</si>
  <si>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</si>
  <si>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</si>
  <si>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</si>
  <si>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</si>
  <si>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</si>
  <si>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</si>
  <si>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</si>
  <si>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</si>
  <si>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</si>
  <si>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</si>
  <si>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</si>
  <si>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</si>
  <si>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</si>
  <si>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</si>
  <si>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</si>
  <si>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</si>
  <si>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</si>
  <si>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</si>
  <si>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</si>
  <si>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</si>
  <si>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</si>
  <si>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</si>
  <si>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</si>
  <si>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</si>
  <si>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</si>
  <si>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</si>
  <si>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</si>
  <si>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</si>
  <si>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</si>
  <si>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</si>
  <si>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</si>
  <si>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</si>
  <si>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</si>
  <si>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</si>
  <si>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</si>
  <si>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</si>
  <si>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</si>
  <si>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</si>
  <si>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</si>
  <si>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</si>
  <si>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</si>
  <si>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</si>
  <si>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</si>
  <si>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</si>
  <si>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</si>
  <si>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</si>
  <si>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</si>
  <si>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</si>
  <si>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</si>
  <si>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</si>
  <si>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</si>
  <si>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</si>
  <si>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</si>
  <si>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</si>
  <si>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</si>
  <si>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</si>
  <si>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</si>
  <si>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</si>
  <si>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</si>
  <si>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</si>
  <si>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</si>
  <si>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</si>
  <si>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</si>
  <si>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</si>
  <si>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</si>
  <si>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</si>
  <si>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</si>
  <si>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</si>
  <si>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</si>
  <si>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</si>
  <si>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</si>
  <si>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</si>
  <si>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</si>
  <si>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</si>
  <si>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</si>
  <si>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</si>
  <si>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</si>
  <si>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</si>
  <si>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</si>
  <si>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</si>
  <si>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</si>
  <si>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</si>
  <si>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</si>
  <si>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</si>
  <si>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</si>
  <si>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</si>
  <si>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</si>
  <si>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</si>
  <si>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</si>
  <si>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</si>
  <si>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</si>
  <si>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</si>
  <si>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</si>
  <si>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</si>
  <si>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</si>
  <si>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</si>
  <si>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</si>
  <si>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</si>
  <si>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</si>
  <si>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</si>
  <si>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</si>
  <si>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</si>
  <si>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</si>
  <si>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</si>
  <si>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</si>
  <si>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</si>
  <si>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</si>
  <si>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</si>
  <si>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</si>
  <si>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</si>
  <si>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</si>
  <si>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</si>
  <si>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</si>
  <si>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</si>
  <si>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</si>
  <si>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</si>
  <si>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</si>
  <si>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</si>
  <si>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</si>
  <si>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</si>
  <si>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</si>
  <si>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</si>
  <si>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</si>
  <si>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</si>
  <si>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</si>
  <si>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</si>
  <si>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</si>
  <si>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</si>
  <si>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</si>
  <si>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</si>
  <si>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</si>
  <si>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</si>
  <si>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</si>
  <si>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</si>
  <si>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</si>
  <si>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</si>
  <si>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</si>
  <si>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</si>
  <si>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</si>
  <si>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</si>
  <si>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</si>
  <si>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</si>
  <si>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</si>
  <si>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</si>
  <si>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</si>
  <si>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</si>
  <si>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</si>
  <si>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</si>
  <si>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</si>
  <si>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</si>
  <si>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</si>
  <si>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</si>
  <si>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</si>
  <si>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</si>
  <si>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</si>
  <si>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</si>
  <si>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</si>
  <si>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</si>
  <si>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</si>
  <si>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</si>
  <si>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</si>
  <si>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</si>
  <si>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</si>
  <si>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</si>
  <si>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</si>
  <si>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</si>
  <si>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</si>
  <si>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</si>
  <si>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</si>
  <si>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</si>
  <si>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</si>
  <si>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</si>
  <si>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</si>
  <si>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</si>
  <si>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</si>
  <si>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</si>
  <si>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</si>
  <si>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</si>
  <si>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</si>
  <si>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</si>
  <si>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</si>
  <si>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</si>
  <si>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</si>
  <si>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</si>
  <si>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</si>
  <si>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</si>
  <si>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</si>
  <si>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</si>
  <si>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</si>
  <si>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</si>
  <si>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</si>
  <si>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</si>
  <si>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</si>
  <si>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</si>
  <si>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</si>
  <si>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</si>
  <si>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</si>
  <si>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</si>
  <si>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</si>
  <si>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</si>
  <si>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</si>
  <si>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</si>
  <si>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</si>
  <si>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</si>
  <si>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</si>
  <si>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</si>
  <si>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</si>
  <si>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</si>
  <si>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</si>
  <si>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</si>
  <si>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</si>
  <si>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</si>
  <si>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</si>
  <si>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</si>
  <si>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</si>
  <si>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</si>
  <si>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</si>
  <si>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</si>
  <si>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</si>
  <si>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</si>
  <si>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</si>
  <si>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</si>
  <si>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</si>
  <si>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</si>
  <si>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</si>
  <si>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</si>
  <si>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</si>
  <si>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</si>
  <si>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</si>
  <si>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</si>
  <si>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</si>
  <si>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</si>
  <si>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</si>
  <si>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</si>
  <si>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</si>
  <si>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</si>
  <si>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</si>
  <si>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</si>
  <si>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</si>
  <si>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</si>
  <si>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</si>
  <si>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</si>
  <si>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</si>
  <si>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</si>
  <si>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</si>
  <si>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</si>
  <si>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</si>
  <si>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</si>
  <si>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</si>
  <si>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</si>
  <si>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</si>
  <si>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</si>
  <si>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</si>
  <si>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</si>
  <si>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</si>
  <si>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</si>
  <si>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</si>
  <si>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</si>
  <si>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</si>
  <si>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</si>
  <si>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</si>
  <si>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</si>
  <si>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</si>
  <si>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</si>
  <si>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</si>
  <si>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</si>
  <si>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</si>
  <si>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</si>
  <si>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</si>
  <si>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</si>
  <si>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</si>
  <si>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</si>
  <si>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</si>
  <si>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</si>
  <si>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</si>
  <si>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</si>
  <si>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</si>
  <si>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</si>
  <si>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</si>
  <si>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</si>
  <si>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</si>
  <si>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</si>
  <si>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</si>
  <si>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</si>
  <si>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</si>
  <si>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</si>
  <si>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</si>
  <si>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</si>
  <si>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</si>
  <si>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</si>
  <si>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</si>
  <si>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</si>
  <si>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</si>
  <si>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</si>
  <si>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</si>
  <si>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</si>
  <si>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</si>
  <si>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</si>
  <si>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</si>
  <si>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</si>
  <si>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</si>
  <si>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</si>
  <si>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</si>
  <si>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</si>
  <si>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</si>
  <si>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</si>
  <si>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</si>
  <si>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</si>
  <si>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</si>
  <si>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</si>
  <si>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</si>
  <si>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</si>
  <si>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</si>
  <si>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</si>
  <si>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</si>
  <si>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</si>
  <si>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</si>
  <si>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</si>
  <si>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</si>
  <si>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</si>
  <si>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</si>
  <si>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</si>
  <si>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</si>
  <si>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</si>
  <si>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</si>
  <si>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</si>
  <si>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</si>
  <si>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</si>
  <si>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</si>
  <si>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</si>
  <si>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</si>
  <si>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</si>
  <si>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</si>
  <si>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</si>
  <si>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</si>
  <si>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</si>
  <si>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</si>
  <si>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</si>
  <si>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</si>
  <si>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</si>
  <si>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</si>
  <si>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</si>
  <si>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</si>
  <si>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</si>
  <si>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</si>
  <si>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</si>
  <si>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</si>
  <si>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</si>
  <si>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</si>
  <si>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</si>
  <si>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</si>
  <si>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</si>
  <si>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</si>
  <si>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</si>
  <si>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</si>
  <si>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</si>
  <si>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</si>
  <si>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</si>
  <si>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</si>
  <si>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</si>
  <si>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</si>
  <si>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</si>
  <si>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</si>
  <si>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</si>
  <si>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</si>
  <si>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</si>
  <si>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</si>
  <si>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</si>
  <si>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</si>
  <si>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</si>
  <si>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</si>
  <si>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</si>
  <si>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</si>
  <si>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</si>
  <si>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</si>
  <si>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</si>
  <si>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</si>
  <si>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</si>
  <si>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</si>
  <si>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</si>
  <si>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</si>
  <si>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</si>
  <si>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</si>
  <si>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</si>
  <si>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</si>
  <si>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</si>
  <si>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</si>
  <si>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</si>
  <si>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</si>
  <si>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</si>
  <si>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</si>
  <si>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</si>
  <si>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</si>
  <si>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</si>
  <si>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</si>
  <si>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</si>
  <si>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</si>
  <si>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</si>
  <si>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</si>
  <si>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</si>
  <si>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</si>
  <si>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</si>
  <si>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</si>
  <si>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</si>
  <si>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</si>
  <si>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</si>
  <si>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</si>
  <si>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</si>
  <si>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</si>
  <si>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</si>
  <si>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</si>
  <si>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</si>
  <si>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</si>
  <si>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</si>
  <si>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</si>
  <si>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</si>
  <si>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</si>
  <si>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</si>
  <si>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</si>
  <si>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</si>
  <si>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</si>
  <si>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</si>
  <si>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</si>
  <si>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</si>
  <si>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</si>
  <si>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</si>
  <si>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</si>
  <si>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</si>
  <si>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</si>
  <si>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</si>
  <si>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</si>
  <si>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</si>
  <si>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</si>
  <si>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</si>
  <si>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</si>
  <si>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</si>
  <si>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</si>
  <si>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</si>
  <si>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</si>
  <si>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</si>
  <si>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</si>
  <si>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</si>
  <si>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</si>
  <si>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</si>
  <si>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</si>
  <si>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</si>
  <si>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</si>
  <si>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</si>
  <si>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</si>
  <si>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</si>
  <si>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</si>
  <si>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</si>
  <si>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</si>
  <si>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</si>
  <si>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</si>
  <si>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</si>
  <si>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</si>
  <si>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</si>
  <si>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</si>
  <si>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</si>
  <si>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</si>
  <si>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</si>
  <si>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</si>
  <si>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</si>
  <si>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</si>
  <si>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</si>
  <si>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</si>
  <si>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</si>
  <si>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</si>
  <si>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</si>
  <si>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</si>
  <si>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</si>
  <si>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</si>
  <si>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</si>
  <si>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</si>
  <si>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</si>
  <si>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</si>
  <si>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</si>
  <si>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</si>
  <si>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</si>
  <si>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</si>
  <si>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</si>
  <si>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</si>
  <si>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</si>
  <si>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</si>
  <si>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</si>
  <si>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</si>
  <si>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</si>
  <si>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</si>
  <si>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</si>
  <si>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</si>
  <si>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</si>
  <si>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</si>
  <si>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</si>
  <si>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</si>
  <si>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</si>
  <si>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</si>
  <si>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</si>
  <si>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</si>
  <si>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</si>
  <si>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</si>
  <si>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</si>
  <si>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</si>
  <si>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</si>
  <si>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</si>
  <si>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</si>
  <si>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</si>
  <si>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</si>
  <si>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</si>
  <si>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</si>
  <si>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</si>
  <si>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</si>
  <si>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</si>
  <si>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</si>
  <si>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</si>
  <si>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</si>
  <si>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</si>
  <si>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</si>
  <si>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</si>
  <si>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</si>
  <si>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</si>
  <si>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</si>
  <si>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</si>
  <si>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</si>
  <si>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</si>
  <si>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</si>
  <si>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</si>
  <si>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</si>
  <si>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</si>
  <si>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</si>
  <si>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</si>
  <si>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</si>
  <si>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</si>
  <si>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</si>
  <si>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</si>
  <si>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</si>
  <si>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</si>
  <si>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</si>
  <si>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</si>
  <si>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</si>
  <si>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</si>
  <si>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</si>
  <si>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</si>
  <si>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</si>
  <si>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</si>
  <si>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</si>
  <si>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</si>
  <si>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</si>
  <si>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</si>
  <si>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</si>
  <si>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</si>
  <si>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</si>
  <si>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</si>
  <si>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</si>
  <si>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</si>
  <si>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</si>
  <si>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</si>
  <si>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</si>
  <si>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</si>
  <si>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</si>
  <si>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</si>
  <si>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</si>
  <si>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</si>
  <si>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</si>
  <si>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</si>
  <si>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</si>
  <si>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</si>
  <si>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</si>
  <si>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</si>
  <si>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</si>
  <si>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</si>
  <si>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</si>
  <si>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</si>
  <si>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</si>
  <si>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</si>
  <si>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</si>
  <si>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</si>
  <si>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</si>
  <si>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</si>
  <si>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</si>
  <si>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</si>
  <si>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</si>
  <si>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</si>
  <si>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</si>
  <si>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</si>
  <si>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</si>
  <si>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</si>
  <si>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</si>
  <si>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</si>
  <si>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</si>
  <si>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</si>
  <si>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</si>
  <si>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</si>
  <si>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</si>
  <si>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</si>
  <si>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</si>
  <si>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</si>
  <si>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</si>
  <si>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</si>
  <si>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</si>
  <si>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</si>
  <si>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</si>
  <si>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</si>
  <si>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</si>
  <si>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</si>
  <si>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</si>
  <si>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</si>
  <si>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</si>
  <si>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</si>
  <si>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</si>
  <si>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</si>
  <si>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</si>
  <si>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</si>
  <si>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</si>
  <si>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</si>
  <si>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</si>
  <si>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</si>
  <si>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</si>
  <si>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</si>
  <si>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</si>
  <si>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</si>
  <si>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</si>
  <si>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</si>
  <si>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</si>
  <si>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</si>
  <si>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</si>
  <si>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</si>
  <si>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</si>
  <si>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</si>
  <si>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</si>
  <si>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</si>
  <si>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</si>
  <si>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</si>
  <si>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</si>
  <si>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</si>
  <si>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</si>
  <si>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</si>
  <si>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</si>
  <si>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</si>
  <si>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</si>
  <si>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</si>
  <si>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</si>
  <si>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</si>
  <si>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</si>
  <si>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</si>
  <si>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</si>
  <si>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</si>
  <si>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</si>
  <si>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</si>
  <si>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</si>
  <si>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</si>
  <si>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</si>
  <si>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</si>
  <si>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</si>
  <si>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</si>
  <si>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</si>
  <si>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</si>
  <si>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</si>
  <si>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</si>
  <si>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</si>
  <si>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</si>
  <si>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</si>
  <si>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</si>
  <si>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</si>
  <si>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</si>
  <si>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</si>
  <si>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</si>
  <si>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</si>
  <si>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</si>
  <si>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</si>
  <si>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</si>
  <si>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</si>
  <si>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</si>
  <si>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</si>
  <si>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</si>
  <si>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</si>
  <si>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</si>
  <si>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</si>
  <si>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</si>
  <si>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</si>
  <si>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</si>
  <si>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</si>
  <si>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</si>
  <si>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</si>
  <si>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</si>
  <si>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</si>
  <si>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</si>
  <si>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</si>
  <si>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</si>
  <si>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</si>
  <si>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</si>
  <si>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</si>
  <si>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</si>
  <si>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</si>
  <si>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</si>
  <si>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</si>
  <si>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</si>
  <si>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</si>
  <si>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</si>
  <si>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</si>
  <si>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</si>
  <si>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</si>
  <si>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</si>
  <si>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</si>
  <si>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</si>
  <si>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</si>
  <si>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</si>
  <si>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</si>
  <si>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</si>
  <si>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</si>
  <si>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</si>
  <si>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</si>
  <si>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</si>
  <si>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</si>
  <si>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</si>
  <si>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</si>
  <si>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</si>
  <si>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</si>
  <si>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</si>
  <si>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</si>
  <si>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</si>
  <si>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</si>
  <si>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</si>
  <si>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</si>
  <si>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</si>
  <si>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</si>
  <si>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</si>
  <si>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</si>
  <si>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</si>
  <si>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</si>
  <si>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</si>
  <si>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</si>
  <si>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</si>
  <si>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</si>
  <si>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</si>
  <si>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</si>
  <si>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</si>
  <si>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</si>
  <si>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</si>
  <si>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</si>
  <si>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</si>
  <si>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</si>
  <si>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</si>
  <si>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</si>
  <si>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</si>
  <si>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</si>
  <si>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</si>
  <si>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</si>
  <si>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</si>
  <si>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</si>
  <si>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</si>
  <si>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</si>
  <si>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</si>
  <si>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</si>
  <si>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</si>
  <si>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</si>
  <si>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</si>
  <si>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</si>
  <si>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</si>
  <si>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</si>
  <si>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</si>
  <si>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</si>
  <si>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</si>
  <si>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</si>
  <si>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</si>
  <si>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</si>
  <si>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</si>
  <si>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</si>
  <si>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</si>
  <si>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</si>
  <si>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</si>
  <si>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</si>
  <si>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</si>
  <si>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</si>
  <si>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</si>
  <si>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</si>
  <si>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</si>
  <si>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</si>
  <si>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</si>
  <si>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</si>
  <si>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</si>
  <si>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</si>
  <si>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</si>
  <si>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</si>
  <si>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</si>
  <si>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</si>
  <si>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</si>
  <si>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</si>
  <si>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</si>
  <si>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</si>
  <si>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</si>
  <si>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</si>
  <si>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</si>
  <si>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</si>
  <si>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</si>
  <si>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</si>
  <si>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</si>
  <si>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</si>
  <si>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</si>
  <si>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</si>
  <si>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</si>
  <si>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</si>
  <si>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</si>
  <si>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</si>
  <si>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</si>
  <si>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</si>
  <si>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</si>
  <si>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</si>
  <si>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</si>
  <si>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</si>
  <si>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</si>
  <si>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</si>
  <si>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</si>
  <si>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</si>
  <si>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</si>
  <si>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</si>
  <si>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</si>
  <si>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</si>
  <si>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</si>
  <si>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</si>
  <si>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</si>
  <si>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</si>
  <si>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</si>
  <si>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</si>
  <si>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</si>
  <si>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</si>
  <si>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</si>
  <si>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</si>
  <si>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</si>
  <si>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</si>
  <si>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</si>
  <si>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</si>
  <si>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</si>
  <si>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</si>
  <si>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</si>
  <si>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</si>
  <si>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</si>
  <si>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</si>
  <si>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</si>
  <si>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</si>
  <si>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</si>
  <si>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</si>
  <si>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</si>
  <si>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</si>
  <si>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</si>
  <si>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</si>
  <si>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</si>
  <si>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</si>
  <si>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</si>
  <si>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</si>
  <si>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</si>
  <si>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</si>
  <si>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</si>
  <si>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</si>
  <si>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</si>
  <si>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</si>
  <si>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</si>
  <si>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</si>
  <si>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</si>
  <si>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</si>
  <si>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</si>
  <si>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</si>
  <si>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</si>
  <si>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</si>
  <si>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</si>
  <si>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</si>
  <si>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</si>
  <si>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</si>
  <si>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</si>
  <si>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</si>
  <si>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</si>
  <si>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</si>
  <si>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</si>
  <si>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</si>
  <si>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</si>
  <si>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</si>
  <si>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</si>
  <si>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</si>
  <si>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</si>
  <si>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</si>
  <si>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</si>
  <si>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</si>
  <si>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</si>
  <si>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</si>
  <si>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</si>
  <si>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</si>
  <si>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</si>
  <si>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</si>
  <si>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</si>
  <si>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</si>
  <si>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</si>
  <si>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</si>
  <si>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</si>
  <si>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</si>
  <si>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</si>
  <si>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</si>
  <si>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</si>
  <si>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</si>
  <si>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</si>
  <si>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</si>
  <si>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</si>
  <si>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</si>
  <si>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</si>
  <si>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</si>
  <si>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</si>
  <si>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</si>
  <si>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</si>
  <si>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</si>
  <si>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</si>
  <si>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</si>
  <si>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</si>
  <si>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</si>
  <si>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</si>
  <si>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</si>
  <si>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</si>
  <si>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</si>
  <si>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</si>
  <si>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</si>
  <si>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</si>
  <si>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</si>
  <si>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</si>
  <si>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</si>
  <si>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</si>
  <si>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</si>
  <si>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</si>
  <si>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</si>
  <si>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</si>
  <si>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</si>
  <si>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</si>
  <si>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</si>
  <si>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</si>
  <si>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</si>
  <si>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</si>
  <si>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</si>
  <si>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</si>
  <si>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</si>
  <si>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</si>
  <si>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</si>
  <si>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</si>
  <si>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</si>
  <si>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</si>
  <si>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</si>
  <si>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</si>
  <si>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</si>
  <si>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</si>
  <si>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</si>
  <si>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</si>
  <si>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</si>
  <si>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</si>
  <si>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</si>
  <si>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</si>
  <si>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</si>
  <si>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</si>
  <si>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</si>
  <si>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</si>
  <si>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</si>
  <si>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</si>
  <si>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</si>
  <si>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</si>
  <si>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</si>
  <si>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</si>
  <si>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</si>
  <si>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</si>
  <si>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</si>
  <si>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</si>
  <si>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</si>
  <si>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</si>
  <si>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</si>
  <si>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</si>
  <si>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</si>
  <si>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</si>
  <si>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</si>
  <si>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</si>
  <si>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</si>
  <si>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</si>
  <si>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</si>
  <si>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</si>
  <si>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</si>
  <si>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</si>
  <si>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</si>
  <si>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</si>
  <si>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</si>
  <si>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</si>
  <si>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</si>
  <si>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</si>
  <si>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</si>
  <si>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</si>
  <si>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</si>
  <si>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</si>
  <si>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</si>
  <si>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</si>
  <si>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</si>
  <si>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</si>
  <si>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</si>
  <si>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</si>
  <si>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</si>
  <si>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</si>
  <si>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</si>
  <si>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</si>
  <si>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</si>
  <si>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</si>
  <si>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</si>
  <si>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</si>
  <si>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</si>
  <si>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</si>
  <si>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</si>
  <si>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</si>
  <si>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</si>
  <si>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</si>
  <si>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</si>
  <si>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</si>
  <si>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</si>
  <si>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</si>
  <si>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</si>
  <si>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</si>
  <si>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</si>
  <si>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</si>
  <si>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</si>
  <si>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</si>
  <si>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</si>
  <si>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</si>
  <si>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</si>
  <si>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</si>
  <si>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</si>
  <si>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</si>
  <si>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</si>
  <si>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</si>
  <si>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</si>
  <si>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</si>
  <si>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</si>
  <si>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</si>
  <si>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</si>
  <si>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</si>
  <si>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</si>
  <si>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</si>
  <si>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</si>
  <si>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</si>
  <si>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</si>
  <si>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</si>
  <si>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</si>
  <si>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</si>
  <si>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</si>
  <si>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</si>
  <si>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</si>
  <si>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</si>
  <si>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</si>
  <si>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</si>
  <si>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</si>
  <si>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</si>
  <si>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</si>
  <si>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</si>
  <si>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</si>
  <si>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</si>
  <si>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</si>
  <si>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</si>
  <si>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</si>
  <si>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</si>
  <si>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</si>
  <si>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</si>
  <si>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</si>
  <si>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</si>
  <si>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</si>
  <si>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</si>
  <si>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</si>
  <si>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</si>
  <si>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</si>
  <si>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</si>
  <si>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</si>
  <si>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</si>
  <si>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</si>
  <si>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</si>
  <si>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</si>
  <si>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</si>
  <si>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</si>
  <si>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</si>
  <si>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</si>
  <si>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</si>
  <si>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</si>
  <si>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</si>
  <si>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</si>
  <si>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</si>
  <si>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</si>
  <si>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</si>
  <si>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</si>
  <si>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</si>
  <si>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</si>
  <si>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</si>
  <si>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</si>
  <si>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</si>
  <si>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</si>
  <si>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</si>
  <si>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</si>
  <si>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</si>
  <si>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</si>
  <si>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</si>
  <si>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</si>
  <si>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</si>
  <si>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</si>
  <si>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</si>
  <si>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</si>
  <si>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</si>
  <si>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</si>
  <si>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</si>
  <si>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</si>
  <si>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</si>
  <si>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</si>
  <si>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</si>
  <si>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</si>
  <si>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</si>
  <si>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</si>
  <si>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</si>
  <si>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</si>
  <si>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</si>
  <si>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</si>
  <si>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</si>
  <si>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</si>
  <si>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</si>
  <si>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</si>
  <si>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</si>
  <si>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</si>
  <si>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</si>
  <si>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</si>
  <si>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</si>
  <si>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</si>
  <si>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</si>
  <si>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</si>
  <si>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</si>
  <si>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</si>
  <si>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</si>
  <si>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</si>
  <si>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</si>
  <si>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</si>
  <si>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</si>
  <si>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</si>
  <si>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</si>
  <si>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</si>
  <si>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</si>
  <si>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</si>
  <si>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</si>
  <si>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</si>
  <si>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</si>
  <si>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</si>
  <si>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</si>
  <si>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</si>
  <si>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</si>
  <si>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</si>
  <si>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</si>
  <si>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</si>
  <si>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</si>
  <si>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</si>
  <si>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</si>
  <si>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</si>
  <si>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</si>
  <si>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</si>
  <si>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</si>
  <si>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</si>
  <si>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</si>
  <si>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</si>
  <si>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</si>
  <si>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</si>
  <si>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</si>
  <si>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</si>
  <si>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</si>
  <si>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</si>
  <si>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</si>
  <si>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</si>
  <si>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</si>
  <si>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</si>
  <si>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</si>
  <si>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</si>
  <si>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</si>
  <si>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</si>
  <si>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</si>
  <si>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</si>
  <si>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</si>
  <si>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</si>
  <si>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</si>
  <si>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</si>
  <si>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</si>
  <si>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</si>
  <si>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</si>
  <si>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</si>
  <si>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</si>
  <si>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</si>
  <si>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</si>
  <si>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</si>
  <si>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</si>
  <si>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</si>
  <si>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</si>
  <si>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</si>
  <si>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</si>
  <si>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</si>
  <si>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</si>
  <si>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</si>
  <si>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</si>
  <si>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</si>
  <si>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</si>
  <si>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</si>
  <si>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</si>
  <si>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</si>
  <si>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</si>
  <si>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</si>
  <si>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</si>
  <si>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</si>
  <si>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</si>
  <si>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</si>
  <si>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</si>
  <si>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</si>
  <si>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</si>
  <si>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</si>
  <si>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</si>
  <si>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</si>
  <si>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</si>
  <si>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</si>
  <si>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</si>
  <si>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</si>
  <si>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</si>
  <si>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</si>
  <si>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</si>
  <si>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</si>
  <si>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</si>
  <si>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</si>
  <si>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</si>
  <si>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</si>
  <si>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</si>
  <si>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</si>
  <si>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</si>
  <si>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</si>
  <si>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</si>
  <si>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</si>
  <si>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</si>
  <si>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</si>
  <si>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</si>
  <si>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</si>
  <si>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</si>
  <si>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</si>
  <si>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</si>
  <si>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</si>
  <si>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</si>
  <si>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</si>
  <si>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</si>
  <si>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</si>
  <si>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</si>
  <si>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</si>
  <si>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</si>
  <si>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</si>
  <si>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</si>
  <si>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</si>
  <si>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</si>
  <si>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</si>
  <si>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</si>
  <si>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</si>
  <si>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</si>
  <si>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</si>
  <si>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</si>
  <si>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</si>
  <si>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</si>
  <si>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</si>
  <si>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</si>
  <si>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</si>
  <si>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</si>
  <si>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</si>
  <si>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</si>
  <si>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</si>
  <si>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</si>
  <si>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</si>
  <si>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</si>
  <si>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</si>
  <si>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</si>
  <si>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</si>
  <si>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</si>
  <si>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</si>
  <si>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</si>
  <si>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</si>
  <si>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</si>
  <si>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</si>
  <si>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</si>
  <si>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</si>
  <si>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</si>
  <si>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</si>
  <si>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</si>
  <si>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</si>
  <si>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</si>
  <si>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</si>
  <si>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</si>
  <si>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</si>
  <si>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</si>
  <si>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</si>
  <si>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</si>
  <si>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</si>
  <si>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</si>
  <si>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</si>
  <si>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</si>
  <si>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</si>
  <si>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</si>
  <si>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</si>
  <si>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</si>
  <si>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</si>
  <si>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</si>
  <si>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</si>
  <si>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</si>
  <si>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</si>
  <si>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</si>
  <si>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</si>
  <si>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</si>
  <si>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</si>
  <si>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</si>
  <si>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</si>
  <si>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</si>
  <si>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</si>
  <si>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</si>
  <si>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</si>
  <si>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</si>
  <si>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</si>
  <si>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</si>
  <si>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</si>
  <si>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</si>
  <si>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</si>
  <si>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</si>
  <si>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</si>
  <si>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</si>
  <si>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</si>
  <si>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</si>
  <si>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</si>
  <si>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</si>
  <si>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</si>
  <si>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</si>
  <si>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</si>
  <si>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</si>
  <si>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</si>
  <si>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</si>
  <si>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</si>
  <si>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</si>
  <si>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</si>
  <si>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</si>
  <si>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</si>
  <si>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</si>
  <si>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</si>
  <si>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</si>
  <si>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</si>
  <si>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</si>
  <si>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</si>
  <si>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</si>
  <si>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</si>
  <si>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</si>
  <si>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</si>
  <si>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</si>
  <si>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</si>
  <si>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</si>
  <si>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</si>
  <si>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</si>
  <si>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</si>
  <si>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</si>
  <si>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</si>
  <si>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</si>
  <si>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</si>
  <si>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</si>
  <si>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</si>
  <si>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</si>
  <si>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</si>
  <si>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</si>
  <si>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</si>
  <si>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</si>
  <si>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</si>
  <si>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</si>
  <si>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</si>
  <si>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</si>
  <si>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</si>
  <si>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</si>
  <si>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</si>
  <si>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</si>
  <si>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</si>
  <si>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</si>
  <si>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</si>
  <si>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</si>
  <si>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</si>
  <si>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</si>
  <si>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</si>
  <si>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</si>
  <si>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</si>
  <si>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</si>
  <si>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</si>
  <si>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</si>
  <si>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</si>
  <si>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</si>
  <si>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</si>
  <si>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</si>
  <si>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</si>
  <si>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</si>
  <si>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</si>
  <si>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</si>
  <si>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</si>
  <si>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</si>
  <si>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</si>
  <si>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</si>
  <si>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</si>
  <si>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</si>
  <si>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</si>
  <si>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</si>
  <si>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</si>
  <si>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</si>
  <si>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</si>
  <si>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</si>
  <si>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</si>
  <si>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</si>
  <si>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</si>
  <si>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</si>
  <si>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</si>
  <si>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</si>
  <si>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</si>
  <si>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</si>
  <si>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</si>
  <si>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</si>
  <si>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</si>
  <si>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</si>
  <si>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</si>
  <si>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</si>
  <si>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</si>
  <si>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</si>
  <si>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</si>
  <si>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</si>
  <si>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</si>
  <si>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</si>
  <si>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</si>
  <si>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</si>
  <si>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</si>
  <si>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</si>
  <si>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</si>
  <si>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</si>
  <si>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</si>
  <si>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</si>
  <si>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</si>
  <si>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</si>
  <si>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</si>
  <si>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</si>
  <si>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</si>
  <si>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</si>
  <si>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</si>
  <si>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</si>
  <si>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</si>
  <si>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</si>
  <si>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</si>
  <si>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</si>
  <si>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</si>
  <si>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</si>
  <si>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</si>
  <si>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</si>
  <si>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</si>
  <si>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</si>
  <si>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</si>
  <si>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</si>
  <si>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</si>
  <si>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</si>
  <si>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</si>
  <si>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</si>
  <si>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</si>
  <si>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</si>
  <si>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</si>
  <si>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</si>
  <si>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</si>
  <si>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</si>
  <si>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</si>
  <si>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</si>
  <si>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</si>
  <si>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</si>
  <si>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</si>
  <si>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</si>
  <si>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</si>
  <si>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</si>
  <si>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</si>
  <si>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</si>
  <si>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</si>
  <si>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</si>
  <si>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</si>
  <si>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</si>
  <si>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</si>
  <si>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</si>
  <si>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</si>
  <si>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</si>
  <si>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</si>
  <si>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</si>
  <si>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</si>
  <si>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</si>
  <si>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</si>
  <si>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</si>
  <si>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</si>
  <si>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</si>
  <si>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</si>
  <si>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</si>
  <si>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</si>
  <si>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</si>
  <si>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</si>
  <si>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</si>
  <si>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</si>
  <si>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</si>
  <si>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</si>
  <si>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</si>
  <si>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</si>
  <si>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</si>
  <si>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</si>
  <si>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</si>
  <si>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</si>
  <si>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</si>
  <si>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</si>
  <si>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</si>
  <si>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</si>
  <si>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</si>
  <si>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</si>
  <si>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</si>
  <si>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</si>
  <si>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</si>
  <si>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</si>
  <si>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</si>
  <si>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</si>
  <si>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</si>
  <si>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</si>
  <si>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</si>
  <si>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</si>
  <si>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</si>
  <si>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</si>
  <si>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</si>
  <si>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</si>
  <si>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</si>
  <si>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</si>
  <si>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</si>
  <si>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</si>
  <si>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</si>
  <si>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</si>
  <si>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</si>
  <si>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</si>
  <si>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</si>
  <si>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</si>
  <si>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</si>
  <si>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</si>
  <si>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</si>
  <si>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</si>
  <si>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</si>
  <si>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</si>
  <si>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</si>
  <si>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</si>
  <si>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</si>
  <si>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</si>
  <si>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</si>
  <si>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</si>
  <si>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</si>
  <si>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</si>
  <si>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</si>
  <si>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</si>
  <si>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</si>
  <si>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</si>
  <si>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</si>
  <si>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</si>
  <si>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</si>
  <si>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</si>
  <si>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</si>
  <si>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</si>
  <si>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</si>
  <si>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</si>
  <si>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</si>
  <si>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</si>
  <si>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</si>
  <si>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</si>
  <si>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</si>
  <si>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</si>
  <si>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</si>
  <si>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</si>
  <si>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</si>
  <si>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</si>
  <si>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</si>
  <si>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</si>
  <si>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</si>
  <si>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</si>
  <si>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</si>
  <si>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</si>
  <si>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</si>
  <si>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</si>
  <si>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</si>
  <si>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</si>
  <si>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</si>
  <si>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</si>
  <si>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</si>
  <si>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</si>
  <si>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</si>
  <si>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</si>
  <si>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</si>
  <si>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</si>
  <si>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</si>
  <si>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</si>
  <si>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</si>
  <si>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</si>
  <si>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</si>
  <si>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</si>
  <si>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</si>
  <si>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</si>
  <si>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</si>
  <si>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</si>
  <si>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</si>
  <si>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</si>
  <si>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</si>
  <si>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</si>
  <si>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</si>
  <si>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</si>
  <si>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</si>
  <si>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</si>
  <si>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</si>
  <si>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</si>
  <si>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</si>
  <si>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</si>
  <si>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</si>
  <si>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</si>
  <si>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</si>
  <si>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</si>
  <si>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</si>
  <si>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</si>
  <si>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</si>
  <si>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</si>
  <si>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</si>
  <si>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</si>
  <si>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</si>
  <si>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</si>
  <si>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</si>
  <si>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</si>
  <si>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</si>
  <si>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</si>
  <si>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</si>
  <si>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</si>
  <si>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</si>
  <si>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</si>
  <si>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</si>
  <si>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</si>
  <si>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</si>
  <si>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</si>
  <si>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</si>
  <si>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</si>
  <si>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</si>
  <si>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</si>
  <si>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</si>
  <si>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</si>
  <si>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</si>
  <si>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</si>
  <si>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</si>
  <si>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</si>
  <si>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</si>
  <si>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</si>
  <si>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</si>
  <si>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</si>
  <si>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</si>
  <si>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</si>
  <si>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</si>
  <si>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</si>
  <si>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</si>
  <si>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</si>
  <si>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</si>
  <si>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</si>
  <si>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</si>
  <si>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</si>
  <si>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</si>
  <si>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</si>
  <si>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</si>
  <si>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</si>
  <si>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</si>
  <si>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</si>
  <si>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</si>
  <si>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</si>
  <si>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</si>
  <si>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</si>
  <si>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</si>
  <si>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</si>
  <si>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</si>
  <si>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</si>
  <si>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</si>
  <si>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</si>
  <si>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</si>
  <si>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</si>
  <si>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</si>
  <si>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</si>
  <si>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</si>
  <si>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</si>
  <si>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</si>
  <si>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</si>
  <si>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</si>
  <si>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</si>
  <si>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</si>
  <si>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</si>
  <si>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</si>
  <si>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</si>
  <si>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</si>
  <si>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</si>
  <si>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</si>
  <si>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</si>
  <si>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</si>
  <si>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</si>
  <si>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</si>
  <si>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</si>
  <si>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</si>
  <si>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</si>
  <si>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</si>
  <si>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</si>
  <si>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</si>
  <si>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</si>
  <si>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</si>
  <si>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</si>
  <si>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</si>
  <si>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</si>
  <si>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</si>
  <si>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</si>
  <si>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</si>
  <si>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</si>
  <si>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</si>
  <si>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</si>
  <si>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</si>
  <si>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</si>
  <si>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</si>
  <si>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</si>
  <si>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</si>
  <si>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</si>
  <si>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</si>
  <si>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</si>
  <si>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</si>
  <si>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</si>
  <si>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</si>
  <si>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</si>
  <si>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</si>
  <si>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</si>
  <si>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</si>
  <si>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</si>
  <si>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</si>
  <si>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</si>
  <si>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</si>
  <si>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</si>
  <si>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</si>
  <si>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</si>
  <si>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</si>
  <si>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</si>
  <si>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</si>
  <si>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</si>
  <si>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</si>
  <si>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</si>
  <si>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</si>
  <si>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</si>
  <si>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</si>
  <si>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</si>
  <si>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</si>
  <si>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</si>
  <si>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</si>
  <si>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</si>
  <si>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</si>
  <si>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</si>
  <si>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</si>
  <si>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</si>
  <si>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</si>
  <si>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</si>
  <si>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</si>
  <si>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</si>
  <si>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</si>
  <si>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</si>
  <si>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</si>
  <si>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</si>
  <si>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</si>
  <si>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</si>
  <si>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</si>
  <si>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</si>
  <si>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</si>
  <si>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</si>
  <si>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</si>
  <si>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</si>
  <si>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</si>
  <si>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</si>
  <si>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</si>
  <si>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</si>
  <si>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</si>
  <si>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</si>
  <si>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</si>
  <si>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</si>
  <si>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</si>
  <si>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</si>
  <si>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</si>
  <si>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</si>
  <si>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</si>
  <si>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</si>
  <si>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</si>
  <si>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</si>
  <si>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</si>
  <si>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</si>
  <si>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</si>
  <si>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</si>
  <si>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</si>
  <si>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</si>
  <si>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</si>
  <si>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</si>
  <si>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</si>
  <si>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</si>
  <si>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</si>
  <si>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</si>
  <si>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</si>
  <si>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</si>
  <si>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</si>
  <si>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</si>
  <si>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</si>
  <si>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</si>
  <si>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</si>
  <si>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</si>
  <si>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</si>
  <si>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</si>
  <si>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</si>
  <si>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</si>
  <si>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</si>
  <si>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</si>
  <si>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</si>
  <si>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</si>
  <si>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</si>
  <si>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</si>
  <si>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</si>
  <si>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</si>
  <si>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</si>
  <si>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</si>
  <si>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</si>
  <si>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</si>
  <si>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</si>
  <si>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</si>
  <si>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</si>
  <si>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</si>
  <si>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</si>
  <si>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</si>
  <si>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</si>
  <si>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</si>
  <si>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</si>
  <si>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</si>
  <si>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</si>
  <si>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</si>
  <si>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</si>
  <si>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</si>
  <si>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</si>
  <si>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</si>
  <si>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</si>
  <si>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</si>
  <si>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</si>
  <si>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</si>
  <si>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</si>
  <si>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</si>
  <si>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</si>
  <si>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</si>
  <si>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</si>
  <si>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</si>
  <si>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</si>
  <si>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</si>
  <si>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</si>
  <si>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</si>
  <si>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</si>
  <si>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</si>
  <si>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</si>
  <si>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</si>
  <si>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</si>
  <si>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</si>
  <si>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</si>
  <si>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</si>
  <si>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</si>
  <si>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</si>
  <si>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</si>
  <si>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</si>
  <si>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</si>
  <si>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</si>
  <si>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</si>
  <si>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</si>
  <si>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</si>
  <si>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</si>
  <si>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</si>
  <si>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</si>
  <si>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</si>
  <si>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</si>
  <si>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</si>
  <si>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</si>
  <si>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</si>
  <si>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</si>
  <si>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</si>
  <si>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</si>
  <si>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</si>
  <si>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</si>
  <si>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</si>
  <si>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</si>
  <si>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</si>
  <si>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</si>
  <si>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</si>
  <si>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</si>
  <si>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</si>
  <si>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</si>
  <si>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</si>
  <si>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</si>
  <si>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</si>
  <si>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</si>
  <si>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</si>
  <si>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</si>
  <si>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</si>
  <si>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</si>
  <si>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</si>
  <si>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</si>
  <si>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</si>
  <si>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</si>
  <si>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</si>
  <si>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</si>
  <si>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</si>
  <si>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</si>
  <si>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</si>
  <si>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</si>
  <si>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</si>
  <si>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</si>
  <si>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</si>
  <si>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</si>
  <si>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</si>
  <si>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</si>
  <si>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</si>
  <si>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</si>
  <si>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</si>
  <si>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</si>
  <si>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</si>
  <si>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</si>
  <si>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</si>
  <si>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</si>
  <si>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</si>
  <si>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</si>
  <si>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</si>
  <si>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</si>
  <si>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</si>
  <si>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</si>
  <si>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</si>
  <si>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</si>
  <si>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</si>
  <si>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</si>
  <si>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</si>
  <si>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</si>
  <si>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</si>
  <si>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</si>
  <si>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</si>
  <si>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</si>
  <si>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</si>
  <si>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</si>
  <si>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</si>
  <si>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</si>
  <si>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</si>
  <si>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</si>
  <si>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</si>
  <si>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</si>
  <si>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</si>
  <si>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</si>
  <si>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</si>
  <si>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</si>
  <si>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</si>
  <si>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</si>
  <si>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</si>
  <si>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</si>
  <si>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</si>
  <si>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</si>
  <si>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</si>
  <si>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</si>
  <si>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</si>
  <si>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</si>
  <si>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</si>
  <si>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</si>
  <si>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</si>
  <si>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</si>
  <si>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</si>
  <si>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</si>
  <si>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</si>
  <si>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</si>
  <si>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</si>
  <si>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</si>
  <si>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</si>
  <si>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</si>
  <si>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</si>
  <si>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</si>
  <si>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</si>
  <si>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</si>
  <si>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</si>
  <si>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</si>
  <si>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</si>
  <si>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</si>
  <si>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</si>
  <si>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</si>
  <si>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</si>
  <si>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</si>
  <si>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</si>
  <si>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</si>
  <si>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</si>
  <si>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</si>
  <si>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</si>
  <si>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</si>
  <si>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</si>
  <si>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</si>
  <si>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</si>
  <si>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</si>
  <si>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</si>
  <si>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</si>
  <si>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</si>
  <si>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</si>
  <si>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</si>
  <si>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</si>
  <si>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</si>
  <si>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</si>
  <si>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</si>
  <si>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</si>
  <si>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</si>
  <si>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</si>
  <si>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</si>
  <si>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</si>
  <si>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</si>
  <si>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</si>
  <si>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</si>
  <si>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</si>
  <si>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</si>
  <si>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</si>
  <si>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</si>
  <si>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</si>
  <si>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</si>
  <si>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</si>
  <si>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</si>
  <si>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</si>
  <si>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</si>
  <si>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</si>
  <si>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</si>
  <si>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</si>
  <si>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</si>
  <si>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</si>
  <si>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</si>
  <si>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</si>
  <si>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</si>
  <si>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</si>
  <si>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</si>
  <si>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</si>
  <si>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</si>
  <si>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</si>
  <si>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</si>
  <si>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</si>
  <si>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</si>
  <si>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</si>
  <si>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</si>
  <si>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</si>
  <si>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</si>
  <si>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</si>
  <si>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</si>
  <si>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</si>
  <si>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</si>
  <si>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</si>
  <si>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</si>
  <si>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</si>
  <si>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</si>
  <si>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</si>
  <si>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</si>
  <si>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</si>
  <si>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</si>
  <si>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</si>
  <si>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</si>
  <si>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</si>
  <si>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</si>
  <si>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</si>
  <si>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</si>
  <si>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</si>
  <si>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</si>
  <si>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</si>
  <si>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</si>
  <si>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</si>
  <si>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</si>
  <si>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</si>
  <si>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</si>
  <si>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</si>
  <si>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</si>
  <si>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</si>
  <si>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</si>
  <si>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</si>
  <si>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</si>
  <si>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</si>
  <si>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</si>
  <si>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</si>
  <si>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</si>
  <si>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</si>
  <si>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</si>
  <si>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</si>
  <si>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</si>
  <si>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</si>
  <si>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</si>
  <si>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</si>
  <si>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</si>
  <si>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</si>
  <si>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</si>
  <si>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</si>
  <si>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</si>
  <si>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</si>
  <si>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</si>
  <si>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</si>
  <si>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</si>
  <si>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</si>
  <si>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</si>
  <si>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</si>
  <si>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</si>
  <si>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</si>
  <si>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</si>
  <si>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</si>
  <si>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</si>
  <si>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</si>
  <si>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</si>
  <si>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</si>
  <si>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</si>
  <si>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</si>
  <si>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</si>
  <si>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</si>
  <si>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</si>
  <si>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</si>
  <si>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</si>
  <si>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</si>
  <si>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</si>
  <si>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</si>
  <si>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</si>
  <si>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</si>
  <si>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</si>
  <si>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</si>
  <si>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</si>
  <si>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</si>
  <si>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</si>
  <si>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</si>
  <si>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</si>
  <si>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</si>
  <si>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</si>
  <si>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</si>
  <si>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</si>
  <si>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</si>
  <si>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</si>
  <si>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</si>
  <si>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</si>
  <si>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</si>
  <si>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</si>
  <si>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</si>
  <si>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</si>
  <si>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</si>
  <si>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</si>
  <si>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</si>
  <si>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</si>
  <si>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</si>
  <si>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</si>
  <si>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</si>
  <si>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</si>
  <si>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</si>
  <si>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</si>
  <si>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</si>
  <si>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</si>
  <si>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</si>
  <si>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</si>
  <si>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</si>
  <si>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</si>
  <si>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</si>
  <si>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</si>
  <si>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</si>
  <si>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</si>
  <si>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</si>
  <si>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</si>
  <si>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</si>
  <si>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</si>
  <si>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</si>
  <si>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</si>
  <si>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</si>
  <si>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</si>
  <si>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</si>
  <si>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</si>
  <si>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</si>
  <si>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</si>
  <si>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</si>
  <si>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</si>
  <si>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</si>
  <si>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</si>
  <si>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</si>
  <si>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</si>
  <si>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</si>
  <si>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</si>
  <si>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</si>
  <si>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</si>
  <si>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</si>
  <si>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</si>
  <si>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</si>
  <si>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</si>
  <si>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</si>
  <si>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</si>
  <si>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</si>
  <si>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</si>
  <si>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</si>
  <si>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</si>
  <si>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</si>
  <si>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</si>
  <si>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</si>
  <si>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</si>
  <si>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</si>
  <si>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</si>
  <si>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</si>
  <si>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</si>
  <si>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</si>
  <si>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</si>
  <si>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</si>
  <si>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</si>
  <si>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</si>
  <si>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</si>
  <si>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</si>
  <si>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</si>
  <si>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</si>
  <si>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</si>
  <si>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</si>
  <si>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</si>
  <si>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</si>
  <si>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</si>
  <si>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</si>
  <si>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</si>
  <si>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</si>
  <si>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</si>
  <si>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</si>
  <si>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</si>
  <si>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</si>
  <si>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</si>
  <si>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</si>
  <si>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</si>
  <si>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</si>
  <si>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</si>
  <si>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</si>
  <si>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</si>
  <si>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</si>
  <si>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</si>
  <si>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</si>
  <si>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</si>
  <si>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</si>
  <si>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</si>
  <si>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</si>
  <si>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</si>
  <si>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</si>
  <si>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</si>
  <si>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</si>
  <si>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</si>
  <si>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</si>
  <si>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</si>
  <si>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</si>
  <si>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</si>
  <si>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</si>
  <si>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</si>
  <si>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</si>
  <si>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</si>
  <si>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</si>
  <si>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</si>
  <si>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</si>
  <si>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</si>
  <si>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</si>
  <si>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</si>
  <si>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</si>
  <si>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</si>
  <si>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</si>
  <si>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</si>
  <si>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</si>
  <si>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</si>
  <si>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</si>
  <si>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</si>
  <si>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</si>
  <si>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</si>
  <si>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</si>
  <si>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</si>
  <si>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</si>
  <si>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</si>
  <si>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</si>
  <si>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</si>
  <si>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</si>
  <si>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</si>
  <si>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</si>
  <si>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</si>
  <si>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</si>
  <si>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</si>
  <si>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</si>
  <si>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</si>
  <si>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</si>
  <si>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</si>
  <si>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</si>
  <si>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</si>
  <si>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</si>
  <si>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</si>
  <si>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</si>
  <si>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</si>
  <si>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</si>
  <si>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</si>
  <si>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</si>
  <si>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</si>
  <si>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</si>
  <si>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</si>
  <si>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</si>
  <si>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</si>
  <si>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</si>
  <si>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</si>
  <si>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</si>
  <si>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</si>
  <si>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</si>
  <si>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</si>
  <si>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</si>
  <si>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</si>
  <si>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</si>
  <si>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</si>
  <si>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</si>
  <si>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</si>
  <si>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</si>
  <si>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</si>
  <si>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</si>
  <si>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</si>
  <si>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</si>
  <si>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</si>
  <si>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</si>
  <si>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</si>
  <si>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</si>
  <si>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</si>
  <si>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</si>
  <si>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</si>
  <si>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</si>
  <si>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</si>
  <si>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</si>
  <si>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</si>
  <si>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</si>
  <si>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</si>
  <si>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</si>
  <si>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</si>
  <si>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</si>
  <si>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</si>
  <si>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</si>
  <si>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</si>
  <si>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</si>
  <si>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</si>
  <si>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</si>
  <si>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</si>
  <si>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</si>
  <si>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</si>
  <si>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</si>
  <si>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</si>
  <si>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</si>
  <si>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</si>
  <si>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</si>
  <si>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</si>
  <si>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</si>
  <si>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</si>
  <si>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</si>
  <si>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</si>
  <si>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</si>
  <si>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</si>
  <si>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</si>
  <si>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</si>
  <si>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</si>
  <si>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</si>
  <si>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</si>
  <si>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</si>
  <si>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</si>
  <si>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</si>
  <si>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</si>
  <si>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</si>
  <si>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</si>
  <si>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</si>
  <si>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</si>
  <si>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</si>
  <si>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</si>
  <si>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</si>
  <si>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</si>
  <si>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</si>
  <si>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</si>
  <si>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</si>
  <si>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</si>
  <si>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</si>
  <si>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</si>
  <si>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</si>
  <si>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</si>
  <si>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</si>
  <si>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</si>
  <si>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</si>
  <si>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</si>
  <si>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</si>
  <si>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</si>
  <si>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</si>
  <si>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</si>
  <si>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</si>
  <si>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</si>
  <si>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</si>
  <si>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</si>
  <si>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</si>
  <si>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</si>
  <si>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</si>
  <si>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</si>
  <si>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</si>
  <si>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</si>
  <si>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</si>
  <si>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</si>
  <si>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</si>
  <si>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</si>
  <si>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</si>
  <si>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</si>
  <si>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</si>
  <si>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</si>
  <si>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</si>
  <si>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</si>
  <si>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</si>
  <si>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</si>
  <si>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</si>
  <si>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</si>
  <si>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</si>
  <si>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</si>
  <si>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</si>
  <si>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</si>
  <si>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</si>
  <si>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</si>
  <si>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</si>
  <si>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</si>
  <si>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</si>
  <si>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</si>
  <si>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</si>
  <si>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</si>
  <si>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</si>
  <si>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</si>
  <si>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</si>
  <si>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</si>
  <si>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</si>
  <si>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</si>
  <si>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</si>
  <si>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</si>
  <si>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</si>
  <si>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</si>
  <si>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</si>
  <si>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</si>
  <si>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</si>
  <si>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</si>
  <si>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</si>
  <si>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</si>
  <si>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</si>
  <si>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</si>
  <si>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</si>
  <si>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</si>
  <si>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</si>
  <si>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</si>
  <si>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</si>
  <si>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</si>
  <si>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</si>
  <si>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</si>
  <si>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</si>
  <si>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</si>
  <si>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</si>
  <si>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</si>
  <si>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</si>
  <si>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</si>
  <si>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</si>
  <si>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</si>
  <si>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</si>
  <si>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</si>
  <si>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</si>
  <si>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</si>
  <si>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</si>
  <si>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</si>
  <si>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</si>
  <si>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</si>
  <si>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</si>
  <si>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</si>
  <si>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</si>
  <si>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</si>
  <si>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</si>
  <si>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</si>
  <si>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</si>
  <si>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</si>
  <si>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</si>
  <si>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</si>
  <si>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</si>
  <si>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</si>
  <si>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</si>
  <si>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</si>
  <si>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</si>
  <si>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</si>
  <si>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</si>
  <si>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</si>
  <si>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</si>
  <si>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</si>
  <si>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</si>
  <si>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</si>
  <si>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</si>
  <si>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</si>
  <si>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</si>
  <si>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</si>
  <si>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</si>
  <si>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</si>
  <si>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</si>
  <si>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</si>
  <si>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</si>
  <si>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</si>
  <si>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</si>
  <si>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</si>
  <si>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</si>
  <si>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</si>
  <si>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</si>
  <si>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</si>
  <si>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</si>
  <si>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</si>
  <si>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</si>
  <si>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</si>
  <si>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</si>
  <si>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</si>
  <si>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</si>
  <si>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</si>
  <si>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</si>
  <si>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</si>
  <si>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</si>
  <si>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</si>
  <si>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</si>
  <si>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</si>
  <si>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</si>
  <si>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</si>
  <si>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</si>
  <si>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</si>
  <si>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</si>
  <si>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</si>
  <si>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</si>
  <si>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</si>
  <si>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</si>
  <si>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</si>
  <si>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</si>
  <si>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</si>
  <si>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</si>
  <si>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</si>
  <si>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</si>
  <si>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</si>
  <si>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</si>
  <si>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</si>
  <si>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</si>
  <si>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</si>
  <si>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</si>
  <si>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</si>
  <si>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</si>
  <si>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</si>
  <si>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</si>
  <si>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</si>
  <si>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</si>
  <si>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</si>
  <si>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</si>
  <si>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</si>
  <si>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</si>
  <si>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</si>
  <si>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</si>
  <si>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</si>
  <si>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</si>
  <si>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</si>
  <si>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</si>
  <si>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</si>
  <si>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</si>
  <si>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</si>
  <si>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</si>
  <si>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</si>
  <si>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</si>
  <si>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</si>
  <si>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</si>
  <si>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</si>
  <si>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</si>
  <si>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</si>
  <si>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</si>
  <si>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</si>
  <si>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</si>
  <si>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</si>
  <si>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</si>
  <si>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</si>
  <si>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</si>
  <si>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</si>
  <si>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</si>
  <si>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</si>
  <si>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</si>
  <si>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</si>
  <si>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</si>
  <si>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</si>
  <si>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</si>
  <si>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</si>
  <si>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</si>
  <si>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</si>
  <si>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</si>
  <si>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</si>
  <si>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</si>
  <si>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</si>
  <si>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</si>
  <si>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</si>
  <si>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</si>
  <si>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</si>
  <si>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</si>
  <si>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</si>
  <si>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</si>
  <si>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</si>
  <si>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</si>
  <si>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</si>
  <si>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</si>
  <si>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</si>
  <si>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</si>
  <si>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</si>
  <si>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</si>
  <si>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</si>
  <si>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</si>
  <si>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</si>
  <si>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</si>
  <si>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</si>
  <si>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</si>
  <si>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</si>
  <si>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</si>
  <si>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</si>
  <si>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</si>
  <si>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</si>
  <si>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</si>
  <si>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</si>
  <si>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</si>
  <si>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</si>
  <si>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</si>
  <si>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</si>
  <si>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</si>
  <si>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</si>
  <si>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</si>
  <si>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</si>
  <si>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</si>
  <si>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</si>
  <si>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</si>
  <si>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</si>
  <si>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</si>
  <si>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</si>
  <si>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</si>
  <si>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</si>
  <si>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</si>
  <si>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</si>
  <si>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</si>
  <si>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</si>
  <si>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</si>
  <si>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</si>
  <si>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</si>
  <si>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</si>
  <si>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</si>
  <si>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</si>
  <si>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</si>
  <si>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</si>
  <si>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</si>
  <si>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</si>
  <si>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</si>
  <si>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</si>
  <si>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</si>
  <si>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</si>
  <si>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</si>
  <si>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</si>
  <si>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</si>
  <si>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</si>
  <si>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</si>
  <si>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</si>
  <si>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</si>
  <si>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</si>
  <si>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</si>
  <si>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</si>
  <si>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</si>
  <si>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</si>
  <si>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</si>
  <si>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</si>
  <si>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</si>
  <si>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</si>
  <si>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</si>
  <si>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</si>
  <si>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</si>
  <si>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</si>
  <si>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</si>
  <si>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</si>
  <si>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</si>
  <si>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</si>
  <si>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</si>
  <si>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</si>
  <si>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</si>
  <si>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</si>
  <si>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</si>
  <si>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</si>
  <si>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</si>
  <si>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</si>
  <si>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</si>
  <si>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</si>
  <si>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</si>
  <si>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</si>
  <si>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</si>
  <si>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</si>
  <si>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</si>
  <si>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</si>
  <si>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</si>
  <si>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</si>
  <si>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</si>
  <si>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</si>
  <si>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</si>
  <si>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</si>
  <si>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</si>
  <si>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</si>
  <si>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</si>
  <si>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</si>
  <si>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</si>
  <si>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</si>
  <si>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</si>
  <si>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</si>
  <si>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</si>
  <si>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</si>
  <si>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</si>
  <si>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</si>
  <si>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</si>
  <si>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</si>
  <si>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</si>
  <si>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</si>
  <si>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</si>
  <si>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</si>
  <si>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</si>
  <si>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</si>
  <si>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</si>
  <si>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</si>
  <si>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</si>
  <si>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</si>
  <si>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</si>
  <si>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</si>
  <si>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</si>
  <si>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</si>
  <si>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</si>
  <si>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</si>
  <si>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</si>
  <si>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</si>
  <si>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</si>
  <si>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</si>
  <si>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</si>
  <si>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</si>
  <si>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</si>
  <si>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</si>
  <si>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</si>
  <si>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</si>
  <si>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</si>
  <si>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</si>
  <si>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</si>
  <si>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</si>
  <si>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</si>
  <si>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</si>
  <si>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</si>
  <si>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</si>
  <si>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</si>
  <si>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</si>
  <si>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</si>
  <si>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</si>
  <si>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</si>
  <si>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</si>
  <si>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</si>
  <si>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</si>
  <si>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</si>
  <si>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</si>
  <si>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</si>
  <si>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</si>
  <si>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</si>
  <si>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</si>
  <si>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</si>
  <si>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</si>
  <si>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</si>
  <si>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</si>
  <si>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</si>
  <si>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</si>
  <si>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</si>
  <si>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</si>
  <si>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</si>
  <si>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</si>
  <si>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</si>
  <si>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</si>
  <si>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</si>
  <si>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</si>
  <si>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</si>
  <si>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</si>
  <si>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</si>
  <si>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</si>
  <si>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</si>
  <si>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</si>
  <si>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</si>
  <si>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</si>
  <si>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</si>
  <si>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</si>
  <si>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</si>
  <si>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</si>
  <si>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</si>
  <si>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</si>
  <si>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</si>
  <si>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</si>
  <si>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</si>
  <si>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</si>
  <si>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</si>
  <si>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</si>
  <si>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</si>
  <si>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</si>
  <si>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</si>
  <si>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</si>
  <si>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</si>
  <si>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</si>
  <si>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</si>
  <si>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</si>
  <si>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</si>
  <si>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</si>
  <si>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</si>
  <si>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</si>
  <si>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</si>
  <si>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</si>
  <si>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</si>
  <si>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</si>
  <si>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</si>
  <si>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</si>
  <si>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</si>
  <si>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</si>
  <si>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</si>
  <si>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</si>
  <si>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</si>
  <si>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</si>
  <si>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</si>
  <si>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</si>
  <si>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</si>
  <si>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</si>
  <si>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</si>
  <si>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</si>
  <si>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</si>
  <si>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</si>
  <si>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</si>
  <si>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</si>
  <si>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</si>
  <si>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</si>
  <si>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</si>
  <si>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</si>
  <si>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</si>
  <si>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</si>
  <si>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</si>
  <si>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</si>
  <si>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</si>
  <si>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</si>
  <si>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</si>
  <si>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</si>
  <si>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</si>
  <si>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</si>
  <si>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</si>
  <si>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</si>
  <si>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</si>
  <si>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</si>
  <si>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</si>
  <si>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</si>
  <si>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</si>
  <si>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</si>
  <si>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</si>
  <si>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</si>
  <si>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</si>
  <si>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</si>
  <si>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</si>
  <si>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</si>
  <si>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</si>
  <si>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</si>
  <si>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</si>
  <si>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</si>
  <si>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</si>
  <si>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</si>
  <si>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</si>
  <si>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</si>
  <si>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</si>
  <si>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</si>
  <si>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</si>
  <si>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</si>
  <si>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</si>
  <si>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</si>
  <si>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</si>
  <si>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</si>
  <si>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</si>
  <si>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</si>
  <si>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</si>
  <si>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</si>
  <si>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</si>
  <si>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</si>
  <si>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</si>
  <si>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</si>
  <si>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</si>
  <si>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</si>
  <si>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</si>
  <si>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</si>
  <si>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</si>
  <si>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</si>
  <si>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</si>
  <si>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</si>
  <si>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</si>
  <si>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</si>
  <si>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</si>
  <si>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</si>
  <si>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</si>
  <si>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</si>
  <si>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</si>
  <si>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</si>
  <si>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</si>
  <si>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</si>
  <si>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</si>
  <si>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</si>
  <si>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</si>
  <si>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</si>
  <si>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</si>
  <si>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</si>
  <si>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</si>
  <si>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</si>
  <si>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</si>
  <si>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</si>
  <si>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</si>
  <si>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</si>
  <si>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</si>
  <si>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</si>
  <si>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</si>
  <si>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</si>
  <si>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</si>
  <si>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</si>
  <si>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</si>
  <si>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</si>
  <si>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</si>
  <si>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</si>
  <si>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</si>
  <si>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</si>
  <si>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</si>
  <si>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</si>
  <si>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</si>
  <si>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</si>
  <si>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</si>
  <si>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</si>
  <si>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</si>
  <si>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</si>
  <si>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</si>
  <si>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</si>
  <si>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</si>
  <si>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</si>
  <si>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</si>
  <si>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</si>
  <si>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</si>
  <si>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</si>
  <si>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</si>
  <si>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</si>
  <si>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</si>
  <si>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</si>
  <si>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</si>
  <si>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</si>
  <si>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</si>
  <si>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</si>
  <si>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</si>
  <si>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</si>
  <si>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</si>
  <si>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</si>
  <si>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</si>
  <si>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</si>
  <si>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</si>
  <si>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</si>
  <si>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</si>
  <si>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</si>
  <si>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</si>
  <si>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</si>
  <si>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</si>
  <si>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</si>
  <si>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</si>
  <si>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</si>
  <si>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</si>
  <si>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</si>
  <si>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</si>
  <si>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</si>
  <si>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</si>
  <si>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</si>
  <si>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</si>
  <si>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</si>
  <si>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</si>
  <si>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</si>
  <si>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</si>
  <si>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</si>
  <si>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</si>
  <si>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</si>
  <si>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</si>
  <si>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</si>
  <si>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</si>
  <si>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</si>
  <si>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</si>
  <si>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</si>
  <si>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</si>
  <si>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</si>
  <si>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</si>
  <si>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</si>
  <si>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</si>
  <si>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</si>
  <si>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</si>
  <si>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</si>
  <si>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</si>
  <si>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</si>
  <si>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</si>
  <si>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</si>
  <si>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</si>
  <si>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</si>
  <si>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</si>
  <si>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</si>
  <si>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</si>
  <si>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</si>
  <si>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</si>
  <si>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</si>
  <si>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</si>
  <si>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</si>
  <si>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</si>
  <si>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</si>
  <si>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</si>
  <si>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</si>
  <si>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</si>
  <si>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</si>
  <si>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</si>
  <si>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</si>
  <si>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</si>
  <si>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</si>
  <si>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</si>
  <si>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</si>
  <si>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</si>
  <si>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</si>
  <si>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</si>
  <si>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</si>
  <si>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</si>
  <si>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</si>
  <si>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</si>
  <si>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</si>
  <si>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</si>
  <si>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</si>
  <si>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</si>
  <si>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</si>
  <si>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</si>
  <si>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</si>
  <si>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</si>
  <si>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</si>
  <si>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</si>
  <si>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</si>
  <si>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</si>
  <si>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</si>
  <si>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</si>
  <si>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</si>
  <si>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</si>
  <si>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</si>
  <si>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</si>
  <si>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</si>
  <si>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</si>
  <si>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</si>
  <si>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</si>
  <si>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</si>
  <si>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</si>
  <si>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</si>
  <si>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</si>
  <si>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</si>
  <si>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</si>
  <si>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</si>
  <si>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</si>
  <si>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</si>
  <si>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</si>
  <si>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</si>
  <si>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</si>
  <si>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</si>
  <si>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</si>
  <si>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</si>
  <si>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</si>
  <si>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</si>
  <si>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</si>
  <si>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</si>
  <si>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</si>
  <si>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</si>
  <si>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</si>
  <si>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</si>
  <si>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</si>
  <si>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</si>
  <si>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</si>
  <si>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</si>
  <si>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</si>
  <si>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</si>
  <si>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</si>
  <si>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</si>
  <si>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</si>
  <si>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</si>
  <si>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</si>
  <si>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</si>
  <si>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</si>
  <si>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</si>
  <si>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</si>
  <si>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</si>
  <si>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</si>
  <si>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</si>
  <si>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</si>
  <si>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</si>
  <si>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</si>
  <si>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</si>
  <si>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</si>
  <si>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</si>
  <si>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</si>
  <si>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</si>
  <si>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</si>
  <si>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</si>
  <si>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</si>
  <si>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</si>
  <si>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</si>
  <si>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</si>
  <si>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</si>
  <si>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</si>
  <si>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</si>
  <si>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</si>
  <si>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</si>
  <si>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</si>
  <si>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</si>
  <si>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</si>
  <si>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</si>
  <si>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</si>
  <si>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</si>
  <si>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</si>
  <si>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</si>
  <si>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</si>
  <si>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</si>
  <si>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</si>
  <si>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</si>
  <si>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</si>
  <si>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</si>
  <si>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</si>
  <si>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</si>
  <si>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</si>
  <si>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</si>
  <si>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</si>
  <si>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</si>
  <si>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</si>
  <si>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</si>
  <si>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</si>
  <si>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</si>
  <si>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</si>
  <si>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</si>
  <si>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</si>
  <si>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</si>
  <si>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</si>
  <si>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</si>
  <si>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</si>
  <si>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</si>
  <si>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</si>
  <si>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</si>
  <si>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</si>
  <si>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</si>
  <si>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</si>
  <si>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</si>
  <si>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</si>
  <si>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</si>
  <si>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</si>
  <si>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</si>
  <si>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</si>
  <si>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</si>
  <si>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</si>
  <si>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</si>
  <si>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</si>
  <si>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</si>
  <si>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</si>
  <si>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</si>
  <si>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</si>
  <si>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</si>
  <si>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</si>
  <si>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</si>
  <si>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</si>
  <si>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</si>
  <si>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</si>
  <si>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</si>
  <si>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</si>
  <si>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</si>
  <si>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</si>
  <si>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</si>
  <si>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</si>
  <si>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</si>
  <si>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</si>
  <si>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</si>
  <si>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</si>
  <si>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</si>
  <si>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</si>
  <si>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</si>
  <si>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</si>
  <si>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</si>
  <si>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</si>
  <si>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</si>
  <si>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</si>
  <si>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</si>
  <si>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</si>
  <si>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</si>
  <si>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</si>
  <si>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</si>
  <si>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</si>
  <si>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</si>
  <si>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</si>
  <si>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</si>
  <si>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</si>
  <si>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</si>
  <si>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</si>
  <si>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</si>
  <si>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</si>
  <si>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</si>
  <si>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</si>
  <si>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</si>
  <si>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</si>
  <si>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</si>
  <si>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</si>
  <si>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</si>
  <si>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</si>
  <si>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</si>
  <si>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</si>
  <si>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</si>
  <si>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</si>
  <si>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</si>
  <si>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</si>
  <si>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</si>
  <si>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</si>
  <si>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</si>
  <si>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</si>
  <si>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</si>
  <si>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</si>
  <si>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</si>
  <si>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</si>
  <si>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</si>
  <si>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</si>
  <si>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</si>
  <si>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</si>
  <si>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</si>
  <si>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</si>
  <si>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</si>
  <si>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</si>
  <si>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</si>
  <si>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</si>
  <si>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</si>
  <si>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</si>
  <si>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</si>
  <si>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</si>
  <si>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</si>
  <si>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</si>
  <si>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</si>
  <si>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</si>
  <si>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</si>
  <si>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</si>
  <si>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</si>
  <si>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</si>
  <si>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</si>
  <si>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</si>
  <si>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</si>
  <si>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</si>
  <si>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</si>
  <si>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</si>
  <si>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</si>
  <si>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</si>
  <si>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</si>
  <si>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</si>
  <si>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</si>
  <si>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</si>
  <si>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</si>
  <si>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</si>
  <si>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</si>
  <si>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</si>
  <si>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</si>
  <si>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</si>
  <si>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</si>
  <si>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</si>
  <si>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</si>
  <si>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</si>
  <si>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</si>
  <si>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</si>
  <si>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</si>
  <si>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</si>
  <si>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</si>
  <si>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</si>
  <si>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</si>
  <si>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</si>
  <si>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</si>
  <si>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</si>
  <si>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</si>
  <si>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</si>
  <si>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</si>
  <si>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</si>
  <si>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</si>
  <si>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</si>
  <si>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</si>
  <si>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</si>
  <si>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</si>
  <si>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</si>
  <si>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</si>
  <si>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</si>
  <si>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</si>
  <si>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</si>
  <si>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</si>
  <si>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</si>
  <si>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</si>
  <si>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</si>
  <si>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</si>
  <si>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</si>
  <si>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</si>
  <si>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</si>
  <si>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</si>
  <si>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</si>
  <si>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</si>
  <si>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</si>
  <si>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</si>
  <si>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</si>
  <si>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</si>
  <si>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</si>
  <si>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</si>
  <si>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</si>
  <si>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</si>
  <si>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</si>
  <si>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</si>
  <si>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</si>
  <si>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</si>
  <si>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</si>
  <si>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</si>
  <si>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</si>
  <si>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</si>
  <si>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</si>
  <si>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</si>
  <si>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</si>
  <si>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</si>
  <si>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</si>
  <si>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</si>
  <si>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</si>
  <si>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</si>
  <si>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</si>
  <si>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</si>
  <si>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</si>
  <si>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</si>
  <si>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</si>
  <si>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</si>
  <si>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</si>
  <si>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</si>
  <si>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</si>
  <si>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</si>
  <si>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</si>
  <si>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</si>
  <si>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</si>
  <si>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</si>
  <si>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</si>
  <si>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</si>
  <si>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</si>
  <si>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</si>
  <si>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</si>
  <si>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</si>
  <si>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</si>
  <si>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</si>
  <si>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</si>
  <si>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</si>
  <si>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</si>
  <si>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</si>
  <si>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</si>
  <si>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</si>
  <si>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</si>
  <si>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</si>
  <si>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</si>
  <si>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</si>
  <si>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</si>
  <si>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</si>
  <si>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</si>
  <si>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</si>
  <si>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</si>
  <si>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</si>
  <si>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</si>
  <si>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</si>
  <si>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</si>
  <si>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</si>
  <si>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</si>
  <si>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</si>
  <si>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</si>
  <si>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</si>
  <si>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</si>
  <si>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</si>
  <si>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</si>
  <si>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</si>
  <si>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</si>
  <si>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</si>
  <si>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</si>
  <si>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</si>
  <si>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</si>
  <si>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</si>
  <si>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</si>
  <si>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</si>
  <si>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</si>
  <si>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</si>
  <si>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</si>
  <si>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</si>
  <si>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</si>
  <si>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</si>
  <si>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</si>
  <si>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</si>
  <si>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</si>
  <si>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</si>
  <si>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</si>
  <si>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</si>
  <si>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</si>
  <si>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</si>
  <si>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</si>
  <si>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</si>
  <si>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</si>
  <si>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</si>
  <si>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</si>
  <si>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</si>
  <si>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</si>
  <si>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</si>
  <si>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</si>
  <si>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</si>
  <si>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</si>
  <si>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</si>
  <si>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</si>
  <si>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</si>
  <si>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</si>
  <si>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</si>
  <si>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</si>
  <si>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</si>
  <si>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</si>
  <si>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</si>
  <si>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</si>
  <si>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</si>
  <si>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</si>
  <si>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</si>
  <si>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</si>
  <si>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</si>
  <si>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</si>
  <si>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</si>
  <si>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</si>
  <si>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</si>
  <si>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</si>
  <si>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</si>
  <si>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</si>
  <si>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</si>
  <si>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</si>
  <si>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</si>
  <si>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</si>
  <si>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</si>
  <si>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</si>
  <si>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</si>
  <si>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</si>
  <si>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</si>
  <si>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</si>
  <si>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</si>
  <si>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</si>
  <si>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</si>
  <si>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</si>
  <si>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</si>
  <si>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</si>
  <si>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</si>
  <si>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</si>
  <si>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</si>
  <si>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</si>
  <si>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</si>
  <si>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</si>
  <si>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</si>
  <si>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</si>
  <si>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</si>
  <si>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</si>
  <si>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</si>
  <si>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</si>
  <si>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</si>
  <si>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</si>
  <si>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</si>
  <si>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</si>
  <si>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</si>
  <si>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</si>
  <si>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</si>
  <si>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</si>
  <si>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</si>
  <si>
    <t>Transporte Importação</t>
  </si>
  <si>
    <t>24088</t>
  </si>
  <si>
    <t>24089</t>
  </si>
  <si>
    <t>24544</t>
  </si>
  <si>
    <t>24545</t>
  </si>
  <si>
    <t>24547</t>
  </si>
  <si>
    <t>24549</t>
  </si>
  <si>
    <t>REMUNERAÇÃO LAYLA                                 (8/11)</t>
  </si>
  <si>
    <t>24551</t>
  </si>
  <si>
    <t>24553</t>
  </si>
  <si>
    <t>25005</t>
  </si>
  <si>
    <t>PAGAMENTO VINICIUS                                 (4/4)</t>
  </si>
  <si>
    <t>25103</t>
  </si>
  <si>
    <t>REMUNERAÇÃO CAIO                                 (22/27)</t>
  </si>
  <si>
    <t>25196</t>
  </si>
  <si>
    <t>25201</t>
  </si>
  <si>
    <t>CERTIFICADO DIGITAL</t>
  </si>
  <si>
    <t>25205</t>
  </si>
  <si>
    <t>REMUNERAÇÃO CAIO                                 (23/27)</t>
  </si>
  <si>
    <t>25206</t>
  </si>
  <si>
    <t>REMUNERAÇÃO LAYLA                                 (9/11)</t>
  </si>
  <si>
    <t>25207</t>
  </si>
  <si>
    <t>INVESTIMENTO AUTO SANTA</t>
  </si>
  <si>
    <t>25218</t>
  </si>
  <si>
    <t>25222</t>
  </si>
  <si>
    <t>25230</t>
  </si>
  <si>
    <t>VA E VT LAYLA</t>
  </si>
  <si>
    <t>25231</t>
  </si>
  <si>
    <t>VA E VT CAIO</t>
  </si>
  <si>
    <t>25233</t>
  </si>
  <si>
    <t>VA E VT ALAIN</t>
  </si>
  <si>
    <t>25235</t>
  </si>
  <si>
    <t>VA E VT CLARA DIA 31/03 A 03/04</t>
  </si>
  <si>
    <t>25236</t>
  </si>
  <si>
    <t>25244</t>
  </si>
  <si>
    <t>25288</t>
  </si>
  <si>
    <t>24219</t>
  </si>
  <si>
    <t>25264</t>
  </si>
  <si>
    <t>CRIAÇÃO NOVO SITE</t>
  </si>
  <si>
    <t>25271</t>
  </si>
  <si>
    <t>25274</t>
  </si>
  <si>
    <t>25290</t>
  </si>
  <si>
    <t>25295</t>
  </si>
  <si>
    <t>25405</t>
  </si>
  <si>
    <t>24262</t>
  </si>
  <si>
    <t>24271</t>
  </si>
  <si>
    <t>25301</t>
  </si>
  <si>
    <t>LANCHE AÇÃO SOCIAL</t>
  </si>
  <si>
    <t>25303</t>
  </si>
  <si>
    <t>APLICAÇÃO INVESTIMENTO CONECT</t>
  </si>
  <si>
    <t>25305</t>
  </si>
  <si>
    <t>ESTORNO CLIENTE</t>
  </si>
  <si>
    <t>25336</t>
  </si>
  <si>
    <t>25337</t>
  </si>
  <si>
    <t>25343</t>
  </si>
  <si>
    <t>25349</t>
  </si>
  <si>
    <t>APLICAÇÃO INVESTIMENTO EVO</t>
  </si>
  <si>
    <t>25353</t>
  </si>
  <si>
    <t>EMPRESTIMO BR TRADE</t>
  </si>
  <si>
    <t>25406</t>
  </si>
  <si>
    <t>25407</t>
  </si>
  <si>
    <t>25408</t>
  </si>
  <si>
    <t>TARIFA AVULSA ENVIO PIX            02/04/2026</t>
  </si>
  <si>
    <t>25381</t>
  </si>
  <si>
    <t>25391</t>
  </si>
  <si>
    <t>25392</t>
  </si>
  <si>
    <t>INSTALAÇÃO SOM FIORINO NOVA</t>
  </si>
  <si>
    <t>25393</t>
  </si>
  <si>
    <t>CONTABILIDADE EVO</t>
  </si>
  <si>
    <t>25394</t>
  </si>
  <si>
    <t>CONTABILIDADE CONECT</t>
  </si>
  <si>
    <t>25398</t>
  </si>
  <si>
    <t>PARTE 1 PAGAMENTO 30 MIL DOLARES A24</t>
  </si>
  <si>
    <t>25409</t>
  </si>
  <si>
    <t>25449</t>
  </si>
  <si>
    <t>25450</t>
  </si>
  <si>
    <t>25415</t>
  </si>
  <si>
    <t>25435</t>
  </si>
  <si>
    <t>25437</t>
  </si>
  <si>
    <t>PARTE 2 -  30MIL DOLARES A24</t>
  </si>
  <si>
    <t>25438</t>
  </si>
  <si>
    <t>25456</t>
  </si>
  <si>
    <t>EMPRESTIMO PAULO</t>
  </si>
  <si>
    <t>25484</t>
  </si>
  <si>
    <t>25459</t>
  </si>
  <si>
    <t>COMBUSTÍVEL</t>
  </si>
  <si>
    <t>25460</t>
  </si>
  <si>
    <t>JBC</t>
  </si>
  <si>
    <t>25461</t>
  </si>
  <si>
    <t>25463</t>
  </si>
  <si>
    <t>DESEMBARAÇO A21 BRASIL</t>
  </si>
  <si>
    <t>25464</t>
  </si>
  <si>
    <t>DESEMBARAÇO A21 BRASIL PARTE 2</t>
  </si>
  <si>
    <t>25465</t>
  </si>
  <si>
    <t>25469</t>
  </si>
  <si>
    <t>TRANSPORTE E ALIMENTAÇÃO ANA CLARA</t>
  </si>
  <si>
    <t>25470</t>
  </si>
  <si>
    <t>RESGATE AUTO SANTA</t>
  </si>
  <si>
    <t>25472</t>
  </si>
  <si>
    <t>BOLETO 1 ENTRADA A25 CHINA</t>
  </si>
  <si>
    <t>25473</t>
  </si>
  <si>
    <t>BOLETO 2 ENTRADA A25 CHINA</t>
  </si>
  <si>
    <t>25474</t>
  </si>
  <si>
    <t>BOLETO 3 ENTRADA A25 CHINA</t>
  </si>
  <si>
    <t>25475</t>
  </si>
  <si>
    <t>BOLETO 4 ENTRADA A25 CHINA</t>
  </si>
  <si>
    <t>25476</t>
  </si>
  <si>
    <t>BOLETO 5 ENTRADA A25 CHINA</t>
  </si>
  <si>
    <t>25487</t>
  </si>
  <si>
    <t>TARIFA TED                         08/04/2026</t>
  </si>
  <si>
    <t>25525</t>
  </si>
  <si>
    <t>24403</t>
  </si>
  <si>
    <t>24405</t>
  </si>
  <si>
    <t>24406</t>
  </si>
  <si>
    <t>24648</t>
  </si>
  <si>
    <t>BOLETO ICC INMETRO 2</t>
  </si>
  <si>
    <t>25344</t>
  </si>
  <si>
    <t>RASTREADOR FIORINO NOVA</t>
  </si>
  <si>
    <t>25498</t>
  </si>
  <si>
    <t>25513</t>
  </si>
  <si>
    <t>25526</t>
  </si>
  <si>
    <t>TARIFA MENSALIDADE PACOTE SERVICOS  MARCO / 2026</t>
  </si>
  <si>
    <t>25527</t>
  </si>
  <si>
    <t>25528</t>
  </si>
  <si>
    <t>25529</t>
  </si>
  <si>
    <t>PIX AUTOMATICO ENVIADO             CGMP SEM PARAR VIA FACIL</t>
  </si>
  <si>
    <t>25530</t>
  </si>
  <si>
    <t>TARIFA AVULSA ENVIO PIX            09/04/2026</t>
  </si>
  <si>
    <t>25534</t>
  </si>
  <si>
    <t>COMNUSTIVEL</t>
  </si>
  <si>
    <t>25622</t>
  </si>
  <si>
    <t>25623</t>
  </si>
  <si>
    <t>20871</t>
  </si>
  <si>
    <t>CASA WIRILES                                 (2/2)</t>
  </si>
  <si>
    <t>25545</t>
  </si>
  <si>
    <t>ALIMENTAÇÃO E TRANSPORTE ANA CLARA DIAS 13/04-17/04</t>
  </si>
  <si>
    <t>25546</t>
  </si>
  <si>
    <t>25551</t>
  </si>
  <si>
    <t>RESGATE 01</t>
  </si>
  <si>
    <t>25553</t>
  </si>
  <si>
    <t>RESGATE EVO 02</t>
  </si>
  <si>
    <t>25555</t>
  </si>
  <si>
    <t>IMPORTAÇÃO 30 MIL DOLARES CHINA</t>
  </si>
  <si>
    <t>25574</t>
  </si>
  <si>
    <t>CASA DA WIRILESS</t>
  </si>
  <si>
    <t>25573</t>
  </si>
  <si>
    <t>25575</t>
  </si>
  <si>
    <t>COMISSÃO CAIO</t>
  </si>
  <si>
    <t>25578</t>
  </si>
  <si>
    <t>PREMIAÇÃO  LEANDRO</t>
  </si>
  <si>
    <t>25624</t>
  </si>
  <si>
    <t>25625</t>
  </si>
  <si>
    <t>25626</t>
  </si>
  <si>
    <t>TARIFA TED                         13/04/2026</t>
  </si>
  <si>
    <t>25602</t>
  </si>
  <si>
    <t>25607</t>
  </si>
  <si>
    <t>FATURAS DE PUBLI ADS DO MERCADO LIVRE</t>
  </si>
  <si>
    <t>25627</t>
  </si>
  <si>
    <t>25164</t>
  </si>
  <si>
    <t>COMPRAS AGL                                 (2/3)</t>
  </si>
  <si>
    <t>25629</t>
  </si>
  <si>
    <t>PAGAMENTO SITE DOMINIO</t>
  </si>
  <si>
    <t>25634</t>
  </si>
  <si>
    <t>25648</t>
  </si>
  <si>
    <t>BOLETO 04 40 MIL DOLARES CHINA</t>
  </si>
  <si>
    <t>25649</t>
  </si>
  <si>
    <t>BOLETO 05 40 MIL DOLARES CHINA</t>
  </si>
  <si>
    <t>25650</t>
  </si>
  <si>
    <t>BOLETO 06 40 MIL DOLARES CHINA</t>
  </si>
  <si>
    <t>25651</t>
  </si>
  <si>
    <t>BOLETO  1 - 40 MIL DOLARES CHINA</t>
  </si>
  <si>
    <t>25652</t>
  </si>
  <si>
    <t>BOLETO  2 - 40 MIL DOLARES CHINA</t>
  </si>
  <si>
    <t>25653</t>
  </si>
  <si>
    <t>BOLETO  3 - 40 MIL DOLARES CHINA</t>
  </si>
  <si>
    <t>25692</t>
  </si>
  <si>
    <t>25694</t>
  </si>
  <si>
    <t>24775</t>
  </si>
  <si>
    <t>25665</t>
  </si>
  <si>
    <t>25672</t>
  </si>
  <si>
    <t>ALUGUEL LOJA CONECT</t>
  </si>
  <si>
    <t>25677</t>
  </si>
  <si>
    <t>25681</t>
  </si>
  <si>
    <t>RESGATE INVESTIMENTOS EVO</t>
  </si>
  <si>
    <t>25682</t>
  </si>
  <si>
    <t>TRANSFERENCIA MERCADO PAGO PARA AUTOBRAS SANTANDER</t>
  </si>
  <si>
    <t>25684</t>
  </si>
  <si>
    <t>UBER PARA LEVAR FIORINO NA OFICINA</t>
  </si>
  <si>
    <t>25686</t>
  </si>
  <si>
    <t>25693</t>
  </si>
  <si>
    <t>25695</t>
  </si>
  <si>
    <t>TARIFA AVULSA ENVIO PIX            16/04/2026</t>
  </si>
  <si>
    <t>25755</t>
  </si>
  <si>
    <t>24771</t>
  </si>
  <si>
    <t>24799</t>
  </si>
  <si>
    <t>24957</t>
  </si>
  <si>
    <t>24958</t>
  </si>
  <si>
    <t>25220</t>
  </si>
  <si>
    <t>25698</t>
  </si>
  <si>
    <t>25703</t>
  </si>
  <si>
    <t>AJUDA DE CUSTA ALAIN UBERLANDIA</t>
  </si>
  <si>
    <t>25705</t>
  </si>
  <si>
    <t>25706</t>
  </si>
  <si>
    <t>25707</t>
  </si>
  <si>
    <t>TRANSPORTADORA CAIAPO</t>
  </si>
  <si>
    <t>25731</t>
  </si>
  <si>
    <t>VT E VA CLARA DIAS 20-24 DE ABRIL</t>
  </si>
  <si>
    <t>25732</t>
  </si>
  <si>
    <t>25733</t>
  </si>
  <si>
    <t>25741</t>
  </si>
  <si>
    <t>25749</t>
  </si>
  <si>
    <t>ESTORNO VALOR EXCEDIDO RODONAVES</t>
  </si>
  <si>
    <t>ESTORNO / TROCO VIA PIX</t>
  </si>
  <si>
    <t>25751</t>
  </si>
  <si>
    <t>25756</t>
  </si>
  <si>
    <t>25793</t>
  </si>
  <si>
    <t>25794</t>
  </si>
  <si>
    <t>25776</t>
  </si>
  <si>
    <t>TROCO CLIENTE</t>
  </si>
  <si>
    <t>25783</t>
  </si>
  <si>
    <t>25795</t>
  </si>
  <si>
    <t>25851</t>
  </si>
  <si>
    <t>25799</t>
  </si>
  <si>
    <t>25847</t>
  </si>
  <si>
    <t>25852</t>
  </si>
  <si>
    <t>TARIFA AVULSA ENVIO PIX            22/04/2026</t>
  </si>
  <si>
    <t>25916</t>
  </si>
  <si>
    <t>25917</t>
  </si>
  <si>
    <t>25855</t>
  </si>
  <si>
    <t>25868</t>
  </si>
  <si>
    <t>25880</t>
  </si>
  <si>
    <t>UBER CLIENTE FUSÃO</t>
  </si>
  <si>
    <t>25892</t>
  </si>
  <si>
    <t>VALE VINICIUS DOS DIAS 14/04-30/04</t>
  </si>
  <si>
    <t>25909</t>
  </si>
  <si>
    <t>MANUTENÇÃO IMPRESSORA</t>
  </si>
  <si>
    <t>25911</t>
  </si>
  <si>
    <t>25979</t>
  </si>
  <si>
    <t>PIX ENVIADO                        CHURRASCARIA E RESTAURANT</t>
  </si>
  <si>
    <t>25936</t>
  </si>
  <si>
    <t>UBER E PEDAGIO CAIO</t>
  </si>
  <si>
    <t>25937</t>
  </si>
  <si>
    <t>25938</t>
  </si>
  <si>
    <t>VALE ANA CLARA 27/04-30/04</t>
  </si>
  <si>
    <t>25950</t>
  </si>
  <si>
    <t>COMPRAS MERCADO LIVRE</t>
  </si>
  <si>
    <t>25957</t>
  </si>
  <si>
    <t>PAGAMENTOS ADVOCATÍCIOS REFERENTE AÇÃO EXTRA JUDICIAL TOTAL FORCE</t>
  </si>
  <si>
    <t>25969</t>
  </si>
  <si>
    <t>DEBITO VIVO MOVEL</t>
  </si>
  <si>
    <t>25970</t>
  </si>
  <si>
    <t>25978</t>
  </si>
  <si>
    <t>TARIFA AVULSA ENVIO PIX            24/04/2026</t>
  </si>
  <si>
    <t>25980</t>
  </si>
  <si>
    <t>25982</t>
  </si>
  <si>
    <t>AJUDA DE CUSTO BAHIA ALAIN</t>
  </si>
  <si>
    <t>26038</t>
  </si>
  <si>
    <t>CAMBIO IMPORTAÇÃO</t>
  </si>
  <si>
    <t>25165</t>
  </si>
  <si>
    <t>COMPRAS AGL                                 (3/3)</t>
  </si>
  <si>
    <t>25990</t>
  </si>
  <si>
    <t>PAGAMENTO TRANSPORTE REFERENTE A VENDA 558 DA EVO</t>
  </si>
  <si>
    <t>25995</t>
  </si>
  <si>
    <t>RESCISÃO LAYLA</t>
  </si>
  <si>
    <t>Encargos - rescisões trabalhistas</t>
  </si>
  <si>
    <t>25999</t>
  </si>
  <si>
    <t>26012</t>
  </si>
  <si>
    <t>COMSBUTIVEL FIORINO</t>
  </si>
  <si>
    <t>26018</t>
  </si>
  <si>
    <t>PAGAMENTO DESEMBARAÇO MAQUINA DE GUIA</t>
  </si>
  <si>
    <t>26031</t>
  </si>
  <si>
    <t>26032</t>
  </si>
  <si>
    <t>26034</t>
  </si>
  <si>
    <t>26029</t>
  </si>
  <si>
    <t>26048</t>
  </si>
  <si>
    <t>METADE DO PAGAMENTO PLOTAGEM DE PORTAS</t>
  </si>
  <si>
    <t>26140</t>
  </si>
  <si>
    <t>TARIFA AVULSA ENVIO PIX            28/04/2026</t>
  </si>
  <si>
    <t>26141</t>
  </si>
  <si>
    <t>25150</t>
  </si>
  <si>
    <t>25262</t>
  </si>
  <si>
    <t>26087</t>
  </si>
  <si>
    <t>LEMBRANÇA DE ANIVERSÁRIO ALAIN</t>
  </si>
  <si>
    <t>26088</t>
  </si>
  <si>
    <t>26124</t>
  </si>
  <si>
    <t>ALIMENTAÇÃO E TRANSPORTE</t>
  </si>
  <si>
    <t>26125</t>
  </si>
  <si>
    <t>VALE TRANSPORTE E ALIMENTAÇÃO MAIO CAIO</t>
  </si>
  <si>
    <t>26126</t>
  </si>
  <si>
    <t>VALE TRANSPORTE E ALIMENTAÇÃO MAIO ALAIN</t>
  </si>
  <si>
    <t>26127</t>
  </si>
  <si>
    <t>VALE TRANSPORTE E ALIMENTAÇÃO MAIO CLARA</t>
  </si>
  <si>
    <t>26131</t>
  </si>
  <si>
    <t>26132</t>
  </si>
  <si>
    <t>26133</t>
  </si>
  <si>
    <t>CELULAR VINICIUS</t>
  </si>
  <si>
    <t>26137</t>
  </si>
  <si>
    <t>26142</t>
  </si>
  <si>
    <t>26152</t>
  </si>
  <si>
    <t>24558</t>
  </si>
  <si>
    <t>24560</t>
  </si>
  <si>
    <t>24562</t>
  </si>
  <si>
    <t>24563</t>
  </si>
  <si>
    <t>25151</t>
  </si>
  <si>
    <t>REMUNERAÇÃO CAIO (24/27)</t>
  </si>
  <si>
    <t>25153</t>
  </si>
  <si>
    <t>25241</t>
  </si>
  <si>
    <t>25298</t>
  </si>
  <si>
    <t>26090</t>
  </si>
  <si>
    <t>REMUNERAÇÃO ANA CLARA</t>
  </si>
  <si>
    <t>26091</t>
  </si>
  <si>
    <t>REMUNERAÇÃO VINICIUS</t>
  </si>
  <si>
    <t>26160</t>
  </si>
  <si>
    <t>BOLETO 1 DESEMBARAÇO B01</t>
  </si>
  <si>
    <t>26161</t>
  </si>
  <si>
    <t>BOLETO 2 DESEMBARAÇO B01</t>
  </si>
  <si>
    <t>26164</t>
  </si>
  <si>
    <t>DESCARREGAR MAQUINA</t>
  </si>
  <si>
    <t>26169</t>
  </si>
  <si>
    <t>26176</t>
  </si>
  <si>
    <t>REMUNERAÇÃO CAIO (25/27)</t>
  </si>
  <si>
    <t>26177</t>
  </si>
  <si>
    <t>26262</t>
  </si>
  <si>
    <t>26186</t>
  </si>
  <si>
    <t>26219</t>
  </si>
  <si>
    <t>CAFÉ  DA MANHÃ</t>
  </si>
  <si>
    <t>26222</t>
  </si>
  <si>
    <t>26223</t>
  </si>
  <si>
    <t>26225</t>
  </si>
  <si>
    <t>26226</t>
  </si>
  <si>
    <t>26232</t>
  </si>
  <si>
    <t>ENTRADA JBC</t>
  </si>
  <si>
    <t>26258</t>
  </si>
  <si>
    <t>26263</t>
  </si>
  <si>
    <t>26265</t>
  </si>
  <si>
    <t>26294</t>
  </si>
  <si>
    <t>REMOÇÃO ADESIVO DA PORTA</t>
  </si>
  <si>
    <t>26380</t>
  </si>
  <si>
    <t>26295</t>
  </si>
  <si>
    <t>FINAL PLOTAGEM DAS PORTAS</t>
  </si>
  <si>
    <t>26296</t>
  </si>
  <si>
    <t>PRESENTE ANIVERSARIO PAULO</t>
  </si>
  <si>
    <t>26318</t>
  </si>
  <si>
    <t>BOLO E SALGADOS FESTA PAULO</t>
  </si>
  <si>
    <t>26321</t>
  </si>
  <si>
    <t>DESEMBARAÇO A23</t>
  </si>
  <si>
    <t>26381</t>
  </si>
  <si>
    <t>TARIFA AVULSA ENVIO PIX            06/05/2026</t>
  </si>
  <si>
    <t>26352</t>
  </si>
  <si>
    <t>26353</t>
  </si>
  <si>
    <t>MÃO DE OBRA FECHADURA</t>
  </si>
  <si>
    <t>26355</t>
  </si>
  <si>
    <t>26356</t>
  </si>
  <si>
    <t>26357</t>
  </si>
  <si>
    <t>26379</t>
  </si>
  <si>
    <t>26382</t>
  </si>
  <si>
    <t>26384</t>
  </si>
  <si>
    <t>26385</t>
  </si>
  <si>
    <t>TRANSPORTADORA ACCERT</t>
  </si>
  <si>
    <t>26465</t>
  </si>
  <si>
    <t>22819</t>
  </si>
  <si>
    <t>MANUTENÇÃO FIORINO (4/4)</t>
  </si>
  <si>
    <t>25104</t>
  </si>
  <si>
    <t>25160</t>
  </si>
  <si>
    <t>25171</t>
  </si>
  <si>
    <t>PASCOA SOLIDARIA (1/2)</t>
  </si>
  <si>
    <t>25173</t>
  </si>
  <si>
    <t>PASCOA FUNCIONARIOS (1/2)</t>
  </si>
  <si>
    <t>25179</t>
  </si>
  <si>
    <t>25180</t>
  </si>
  <si>
    <t>25197</t>
  </si>
  <si>
    <t>25223</t>
  </si>
  <si>
    <t>25273</t>
  </si>
  <si>
    <t>25382</t>
  </si>
  <si>
    <t>25396</t>
  </si>
  <si>
    <t>25466</t>
  </si>
  <si>
    <t>RESMA E FITA</t>
  </si>
  <si>
    <t>25493</t>
  </si>
  <si>
    <t>25501</t>
  </si>
  <si>
    <t>COMBUSTÍVEL VAN</t>
  </si>
  <si>
    <t>25558</t>
  </si>
  <si>
    <t>SUPERMERCADO</t>
  </si>
  <si>
    <t>25590</t>
  </si>
  <si>
    <t>OLEO PARA FIORINO</t>
  </si>
  <si>
    <t>25604</t>
  </si>
  <si>
    <t>25642</t>
  </si>
  <si>
    <t>ASSINATURA CHATGPT</t>
  </si>
  <si>
    <t>25685</t>
  </si>
  <si>
    <t>25700</t>
  </si>
  <si>
    <t>DESPEDIDA LAYLA</t>
  </si>
  <si>
    <t>25701</t>
  </si>
  <si>
    <t>25704</t>
  </si>
  <si>
    <t>25725</t>
  </si>
  <si>
    <t>25784</t>
  </si>
  <si>
    <t>25809</t>
  </si>
  <si>
    <t>25836</t>
  </si>
  <si>
    <t>25495</t>
  </si>
  <si>
    <t>26395</t>
  </si>
  <si>
    <t>AJUDA DE CUSTO</t>
  </si>
  <si>
    <t>26396</t>
  </si>
  <si>
    <t>PAGAMENTO CHAPA SABADO</t>
  </si>
  <si>
    <t>26398</t>
  </si>
  <si>
    <t>TARIFAS MERCADO PAGO</t>
  </si>
  <si>
    <t>26419</t>
  </si>
  <si>
    <t>INTERNET</t>
  </si>
  <si>
    <t>26422</t>
  </si>
  <si>
    <t>DIFERENÇA DA INSTALAÇÃO</t>
  </si>
  <si>
    <t>26424</t>
  </si>
  <si>
    <t>26444</t>
  </si>
  <si>
    <t>26456</t>
  </si>
  <si>
    <t>26460</t>
  </si>
  <si>
    <t>RASTREAMENTO CARROS</t>
  </si>
  <si>
    <t>26533</t>
  </si>
  <si>
    <t>26534</t>
  </si>
  <si>
    <t>26535</t>
  </si>
  <si>
    <t>26536</t>
  </si>
  <si>
    <t>DEBITO AUT. FAT.CARTAO MASTER CARD FINAL 6243</t>
  </si>
  <si>
    <t>26815</t>
  </si>
  <si>
    <t>26470</t>
  </si>
  <si>
    <t>26479</t>
  </si>
  <si>
    <t>ESTORNO PARA CLIENTE</t>
  </si>
  <si>
    <t>26489</t>
  </si>
  <si>
    <t>26538</t>
  </si>
  <si>
    <t>26539</t>
  </si>
  <si>
    <t>26506</t>
  </si>
  <si>
    <t>26520</t>
  </si>
  <si>
    <t>26522</t>
  </si>
  <si>
    <t>26523</t>
  </si>
  <si>
    <t>CAMBIO 30 MIL DOLARES</t>
  </si>
  <si>
    <t>26527</t>
  </si>
  <si>
    <t>ENTRASA CAMISETAS</t>
  </si>
  <si>
    <t>26528</t>
  </si>
  <si>
    <t>RESTANTE DA ENTRADA DAS CAMISETAS</t>
  </si>
  <si>
    <t>26540</t>
  </si>
  <si>
    <t>26545</t>
  </si>
  <si>
    <t>MANUTENÇÃO CAMERAS</t>
  </si>
  <si>
    <t>26562</t>
  </si>
  <si>
    <t>AJUSTE DE CAIXA TROCA EM DINHEIRO</t>
  </si>
  <si>
    <t>26596</t>
  </si>
  <si>
    <t>26597</t>
  </si>
  <si>
    <t>26666</t>
  </si>
  <si>
    <t>TARIFA TED                         13/05/2026</t>
  </si>
  <si>
    <t>26667</t>
  </si>
  <si>
    <t>25630</t>
  </si>
  <si>
    <t>ALUGUEL CONECT</t>
  </si>
  <si>
    <t>26653</t>
  </si>
  <si>
    <t>26654</t>
  </si>
  <si>
    <t>26659</t>
  </si>
  <si>
    <t>INVESTIMENTO CONECT</t>
  </si>
  <si>
    <t>26669</t>
  </si>
  <si>
    <t>TARIFA AVULSA ENVIO PIX            14/05/2026</t>
  </si>
  <si>
    <t>26686</t>
  </si>
  <si>
    <t>BONIFICAÇÃO CAIO</t>
  </si>
  <si>
    <t>26689</t>
  </si>
  <si>
    <t>RODUAM CARGAS</t>
  </si>
  <si>
    <t>26691</t>
  </si>
  <si>
    <t>26693</t>
  </si>
  <si>
    <t>TRANSPRESS CLIENTE LCJ</t>
  </si>
  <si>
    <t>26694</t>
  </si>
  <si>
    <t>TRANSPRESS OLIVEIRA</t>
  </si>
  <si>
    <t>26695</t>
  </si>
  <si>
    <t>26696</t>
  </si>
  <si>
    <t>26699</t>
  </si>
  <si>
    <t>26751</t>
  </si>
  <si>
    <t>MENSALIDADE DE SEGURO              Parc 002/012 INCENDIO EMP</t>
  </si>
  <si>
    <t>26752</t>
  </si>
  <si>
    <t>26753</t>
  </si>
  <si>
    <t>26754</t>
  </si>
  <si>
    <t>25696</t>
  </si>
  <si>
    <t>26725</t>
  </si>
  <si>
    <t>26735</t>
  </si>
  <si>
    <t>26736</t>
  </si>
  <si>
    <t>26737</t>
  </si>
  <si>
    <t>26755</t>
  </si>
  <si>
    <t>26758</t>
  </si>
  <si>
    <t>PRONAMPE PAULO ABRIL</t>
  </si>
  <si>
    <t>PRONAMPE</t>
  </si>
  <si>
    <t>26759</t>
  </si>
  <si>
    <t>PRONAMPE PAULO MAIO</t>
  </si>
  <si>
    <t>14486</t>
  </si>
  <si>
    <t>25699</t>
  </si>
  <si>
    <t>26799</t>
  </si>
  <si>
    <t>26808</t>
  </si>
  <si>
    <t>26809</t>
  </si>
  <si>
    <t>SIMPLES NACIONAL EVO</t>
  </si>
  <si>
    <t>26810</t>
  </si>
  <si>
    <t>SIMPLES NACIONAL CONECT</t>
  </si>
  <si>
    <t>26811</t>
  </si>
  <si>
    <t>26812</t>
  </si>
  <si>
    <t>26813</t>
  </si>
  <si>
    <t>SIMPLES NACIONAL AUTO</t>
  </si>
  <si>
    <t>26819</t>
  </si>
  <si>
    <t>SOLIDES SISTEMA DE PONTO</t>
  </si>
  <si>
    <t>25159</t>
  </si>
  <si>
    <t>BOLETO 2 JBC</t>
  </si>
  <si>
    <t>26837</t>
  </si>
  <si>
    <t>26838</t>
  </si>
  <si>
    <t>26839</t>
  </si>
  <si>
    <t>HONORARIOS IMPORTAÇÃO</t>
  </si>
  <si>
    <t>26840</t>
  </si>
  <si>
    <t>RESTANTE DESEMBARAÇO</t>
  </si>
  <si>
    <t>26845</t>
  </si>
  <si>
    <t>26858</t>
  </si>
  <si>
    <t>26862</t>
  </si>
  <si>
    <t>uber lucas</t>
  </si>
  <si>
    <t>26898</t>
  </si>
  <si>
    <t>26864</t>
  </si>
  <si>
    <t>CAFE DA MANHA LEANDRO</t>
  </si>
  <si>
    <t>26875</t>
  </si>
  <si>
    <t>26878</t>
  </si>
  <si>
    <t>26900</t>
  </si>
  <si>
    <t>TARIFA AVULSA ENVIO PIX            21/05/2026</t>
  </si>
  <si>
    <t>26907</t>
  </si>
  <si>
    <t>26908</t>
  </si>
  <si>
    <t>26931</t>
  </si>
  <si>
    <t>ACCERT TRANSPORTADORA</t>
  </si>
  <si>
    <t>26932</t>
  </si>
  <si>
    <t>26953</t>
  </si>
  <si>
    <t>VALE VINICIUS</t>
  </si>
  <si>
    <t>27033</t>
  </si>
  <si>
    <t>27034</t>
  </si>
  <si>
    <t>27037</t>
  </si>
  <si>
    <t>23896</t>
  </si>
  <si>
    <t>IPVA 4ª PARCELA</t>
  </si>
  <si>
    <t>26965</t>
  </si>
  <si>
    <t>RESTANTE VINICIUS (hospital)</t>
  </si>
  <si>
    <t>26966</t>
  </si>
  <si>
    <t>FRETE ACCERT</t>
  </si>
  <si>
    <t>26978</t>
  </si>
  <si>
    <t>DECORAÇÃO LOJA</t>
  </si>
  <si>
    <t>27035</t>
  </si>
  <si>
    <t>27038</t>
  </si>
  <si>
    <t>26989</t>
  </si>
  <si>
    <t>MÃO DE OBRA CLIENTE (troca de bateria)</t>
  </si>
  <si>
    <t>26995</t>
  </si>
  <si>
    <t>26996</t>
  </si>
  <si>
    <t>27004</t>
  </si>
  <si>
    <t>REFRIGERANTE</t>
  </si>
  <si>
    <t>27015</t>
  </si>
  <si>
    <t>27039</t>
  </si>
  <si>
    <t>TARIFA AVULSA ENVIO PIX            26/05/2026</t>
  </si>
  <si>
    <t>27048</t>
  </si>
  <si>
    <t>27055</t>
  </si>
  <si>
    <t>27061</t>
  </si>
  <si>
    <t>HOTEL</t>
  </si>
  <si>
    <t>27086</t>
  </si>
  <si>
    <t>27087</t>
  </si>
  <si>
    <t>AJUDE DE CUSTO ALAIN GOIANIA</t>
  </si>
  <si>
    <t>27088</t>
  </si>
  <si>
    <t>27106</t>
  </si>
  <si>
    <t>PAGAMENTO  A26</t>
  </si>
  <si>
    <t>27107</t>
  </si>
  <si>
    <t>PAGAMENTO PARTE 1 $30555,50 dolares</t>
  </si>
  <si>
    <t>27109</t>
  </si>
  <si>
    <t>PAGAMENTO PARTE 2 $30555,50 DOLARES</t>
  </si>
  <si>
    <t>27110</t>
  </si>
  <si>
    <t>VA  E VT ANA CLARA</t>
  </si>
  <si>
    <t>27111</t>
  </si>
  <si>
    <t>27114</t>
  </si>
  <si>
    <t>VA E VT VINICIUS</t>
  </si>
  <si>
    <t>27115</t>
  </si>
  <si>
    <t>27116</t>
  </si>
  <si>
    <t>VA VINICIUS DA SEMANA HOME OFFICE</t>
  </si>
  <si>
    <t>27117</t>
  </si>
  <si>
    <t>27261</t>
  </si>
  <si>
    <t>CONECT INVESTIMENTO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</si>
</sst>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4" fontId="0" fillId="0" borderId="5" xfId="0" applyNumberFormat="1" applyBorder="1"/>
    <xf numFmtId="4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  <xf numFmtId="0" fontId="0" fillId="0" borderId="17" xfId="0" applyFont="1" applyBorder="1"/>
    <xf numFmtId="0" fontId="0" fillId="0" borderId="17" xfId="0" applyFont="1" applyBorder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60">
    <dxf>
      <numFmt numFmtId="19" formatCode="dd/mm/yyyy"/>
      <alignment horizontal="center" vertical="bottom" textRotation="0" wrapText="0" indent="0" justifyLastLine="0" shrinkToFit="0" readingOrder="0"/>
    </dxf>
    <dxf>
      <numFmt numFmtId="165" formatCode="[$-F800]dddd\,\ mmmm\ dd\,\ 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5">
      <pivotArea outline="0" collapsedLevelsAreSubtotals="1" fieldPosition="0"/>
    </format>
    <format dxfId="54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9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5">
      <pivotArea outline="0" collapsedLevelsAreSubtotals="1" fieldPosition="0"/>
    </format>
    <format dxfId="24">
      <pivotArea field="9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fieldPosition="0">
        <references count="1">
          <reference field="9" count="0"/>
        </references>
      </pivotArea>
    </format>
    <format dxfId="21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742" totalsRowShown="0" dataDxfId="31" dataCellStyle="Moeda">
  <autoFilter ref="A1:S3742" xr:uid="{00000000-0009-0000-0100-000001000000}"/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0"/>
    <tableColumn id="10" xr3:uid="{00000000-0010-0000-0500-00000A000000}" name="DATA" dataDxfId="1"/>
    <tableColumn id="20" xr3:uid="{00000000-0010-0000-0500-000014000000}" name="MêS" dataDxfId="30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9" dataCellStyle="Moeda"/>
    <tableColumn id="14" xr3:uid="{00000000-0010-0000-0500-00000E000000}" name="Desconto" dataDxfId="28" dataCellStyle="Moeda"/>
    <tableColumn id="15" xr3:uid="{00000000-0010-0000-0500-00000F000000}" name="Juros" dataDxfId="27" dataCellStyle="Moeda"/>
    <tableColumn id="18" xr3:uid="{00000000-0010-0000-0500-000012000000}" name="Valor total" dataDxfId="26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20" tableBorderDxfId="19">
  <autoFilter ref="A1:M41" xr:uid="{00000000-0009-0000-0100-000008000000}"/>
  <tableColumns count="13">
    <tableColumn id="1" xr3:uid="{00000000-0010-0000-0600-000001000000}" name="Descrição" dataDxfId="18"/>
    <tableColumn id="2" xr3:uid="{00000000-0010-0000-0600-000002000000}" name="EP" dataDxfId="17"/>
    <tableColumn id="3" xr3:uid="{00000000-0010-0000-0600-000003000000}" name="Plano de contas" dataDxfId="16"/>
    <tableColumn id="4" xr3:uid="{00000000-0010-0000-0600-000004000000}" name="TIPO" dataDxfId="15"/>
    <tableColumn id="5" xr3:uid="{00000000-0010-0000-0600-000005000000}" name="Forma de pagamento" dataDxfId="14"/>
    <tableColumn id="6" xr3:uid="{00000000-0010-0000-0600-000006000000}" name="Conta bancária" dataDxfId="13"/>
    <tableColumn id="7" xr3:uid="{00000000-0010-0000-0600-000007000000}" name="Centro de custo" dataDxfId="12"/>
    <tableColumn id="8" xr3:uid="{00000000-0010-0000-0600-000008000000}" name="Data de confirmação" dataDxfId="11"/>
    <tableColumn id="9" xr3:uid="{00000000-0010-0000-0600-000009000000}" name="DATA" dataDxfId="10"/>
    <tableColumn id="10" xr3:uid="{00000000-0010-0000-0600-00000A000000}" name="MêS" dataDxfId="9"/>
    <tableColumn id="11" xr3:uid="{00000000-0010-0000-0600-00000B000000}" name="NF-e" dataDxfId="8"/>
    <tableColumn id="12" xr3:uid="{00000000-0010-0000-0600-00000C000000}" name="Situação" dataDxfId="7"/>
    <tableColumn id="13" xr3:uid="{00000000-0010-0000-0600-00000D000000}" name="Valor" dataDxfId="6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7" t="s">
        <v>2</v>
      </c>
      <c r="F3" s="97"/>
      <c r="G3" s="97"/>
      <c r="L3" s="97" t="s">
        <v>3</v>
      </c>
      <c r="M3" s="97"/>
      <c r="N3" s="97"/>
      <c r="Z3" s="97" t="s">
        <v>4</v>
      </c>
      <c r="AA3" s="97"/>
      <c r="AB3" s="97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7" t="s">
        <v>13</v>
      </c>
      <c r="T4" s="97"/>
      <c r="U4" s="97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5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7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8" t="s">
        <v>4260</v>
      </c>
      <c r="P1" s="78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7">
        <f>SUM(C2:N2)</f>
        <v>8992693.2699999996</v>
      </c>
      <c r="P2" s="67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8">
        <f>SUM(C3:N3)</f>
        <v>5880014.6200000001</v>
      </c>
      <c r="P3" s="68">
        <f t="shared" ref="P3:P66" si="0">O3/12</f>
        <v>490001.21833333332</v>
      </c>
    </row>
    <row r="4" spans="1:16" ht="17.399999999999999" customHeight="1" x14ac:dyDescent="0.35">
      <c r="A4" s="101" t="s">
        <v>113</v>
      </c>
      <c r="B4" s="100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69">
        <f>SUM(C4:N4)</f>
        <v>3112678.6500000008</v>
      </c>
      <c r="P4" s="69">
        <f t="shared" si="0"/>
        <v>259389.88750000007</v>
      </c>
    </row>
    <row r="5" spans="1:16" ht="17.399999999999999" customHeight="1" x14ac:dyDescent="0.35">
      <c r="A5" s="101"/>
      <c r="B5" s="100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0">
        <f>IFERROR(O4/O2,0)</f>
        <v>0.34613419545666335</v>
      </c>
      <c r="P5" s="70">
        <f>IFERROR(P4/P2,0)</f>
        <v>0.3461341954566633</v>
      </c>
    </row>
    <row r="6" spans="1:16" ht="21" x14ac:dyDescent="0.35">
      <c r="A6" s="19" t="s">
        <v>111</v>
      </c>
      <c r="B6" s="102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1">
        <f>SUM(C6:N6)</f>
        <v>256709.33</v>
      </c>
      <c r="P6" s="71">
        <f t="shared" si="0"/>
        <v>21392.444166666664</v>
      </c>
    </row>
    <row r="7" spans="1:16" ht="21" x14ac:dyDescent="0.35">
      <c r="A7" s="19" t="s">
        <v>116</v>
      </c>
      <c r="B7" s="102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2">
        <f>IFERROR(O6/O2,0)</f>
        <v>2.8546434565537005E-2</v>
      </c>
      <c r="P7" s="72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3">
        <f>SUM(C8:N8)</f>
        <v>16710.850000000002</v>
      </c>
      <c r="P8" s="73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3">
        <f t="shared" ref="O9:O26" si="7">SUM(C9:N9)</f>
        <v>6734.49</v>
      </c>
      <c r="P9" s="73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3">
        <f t="shared" si="7"/>
        <v>1019.5</v>
      </c>
      <c r="P10" s="73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3">
        <f t="shared" si="7"/>
        <v>6022</v>
      </c>
      <c r="P11" s="73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3">
        <f t="shared" si="7"/>
        <v>1119.1199999999999</v>
      </c>
      <c r="P12" s="73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3">
        <f t="shared" si="7"/>
        <v>599.81999999999994</v>
      </c>
      <c r="P13" s="73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3">
        <f t="shared" si="7"/>
        <v>1457.48</v>
      </c>
      <c r="P14" s="73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3">
        <f t="shared" si="7"/>
        <v>4382.76</v>
      </c>
      <c r="P15" s="73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3">
        <f t="shared" si="7"/>
        <v>1762.6800000000003</v>
      </c>
      <c r="P16" s="73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3">
        <f t="shared" si="7"/>
        <v>6352.4</v>
      </c>
      <c r="P17" s="73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3">
        <f t="shared" si="7"/>
        <v>186871.31</v>
      </c>
      <c r="P18" s="73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3">
        <f t="shared" si="7"/>
        <v>5448.33</v>
      </c>
      <c r="P19" s="73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3">
        <f t="shared" si="7"/>
        <v>6078.76</v>
      </c>
      <c r="P20" s="73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3">
        <f t="shared" si="7"/>
        <v>3807.15</v>
      </c>
      <c r="P21" s="73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3">
        <f t="shared" si="7"/>
        <v>700</v>
      </c>
      <c r="P22" s="73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3">
        <f t="shared" si="7"/>
        <v>3352.3</v>
      </c>
      <c r="P23" s="73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3">
        <f t="shared" si="7"/>
        <v>1100</v>
      </c>
      <c r="P24" s="73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3">
        <f t="shared" si="7"/>
        <v>2214.4700000000003</v>
      </c>
      <c r="P25" s="73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3">
        <f t="shared" si="7"/>
        <v>975.91</v>
      </c>
      <c r="P26" s="73">
        <f t="shared" si="0"/>
        <v>81.325833333333335</v>
      </c>
    </row>
    <row r="27" spans="1:16" ht="21" x14ac:dyDescent="0.35">
      <c r="A27" s="19" t="s">
        <v>111</v>
      </c>
      <c r="B27" s="103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1">
        <f>SUM(C27:N27)</f>
        <v>130886.70999999999</v>
      </c>
      <c r="P27" s="71">
        <f t="shared" si="0"/>
        <v>10907.225833333332</v>
      </c>
    </row>
    <row r="28" spans="1:16" ht="21" x14ac:dyDescent="0.35">
      <c r="A28" s="19" t="s">
        <v>116</v>
      </c>
      <c r="B28" s="104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4">
        <f>IFERROR(O27/O2,0)</f>
        <v>1.4554784208713482E-2</v>
      </c>
      <c r="P28" s="74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3">
        <f>SUM(C29:N29)</f>
        <v>25913.14</v>
      </c>
      <c r="P29" s="73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3">
        <f t="shared" ref="O30:O34" si="10">SUM(C30:N30)</f>
        <v>3975.75</v>
      </c>
      <c r="P30" s="73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3">
        <f t="shared" si="10"/>
        <v>752.5</v>
      </c>
      <c r="P31" s="73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3">
        <f t="shared" si="10"/>
        <v>722.16000000000008</v>
      </c>
      <c r="P32" s="73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3">
        <f t="shared" si="10"/>
        <v>5772.0800000000008</v>
      </c>
      <c r="P33" s="73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3">
        <f t="shared" si="10"/>
        <v>93751.080000000016</v>
      </c>
      <c r="P34" s="73">
        <f t="shared" si="0"/>
        <v>7812.5900000000011</v>
      </c>
    </row>
    <row r="35" spans="1:16" ht="21" x14ac:dyDescent="0.35">
      <c r="A35" s="19" t="s">
        <v>111</v>
      </c>
      <c r="B35" s="105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1">
        <f>SUM(C35:N35)</f>
        <v>181996.09</v>
      </c>
      <c r="P35" s="71">
        <f t="shared" si="0"/>
        <v>15166.340833333334</v>
      </c>
    </row>
    <row r="36" spans="1:16" ht="21" x14ac:dyDescent="0.35">
      <c r="A36" s="19" t="s">
        <v>116</v>
      </c>
      <c r="B36" s="105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2">
        <f t="shared" si="12"/>
        <v>2.0238218355244759E-2</v>
      </c>
      <c r="P36" s="72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3">
        <f>SUM(C37:N37)</f>
        <v>172.7</v>
      </c>
      <c r="P37" s="73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3">
        <f t="shared" ref="O38:O92" si="13">SUM(C38:N38)</f>
        <v>181823.39</v>
      </c>
      <c r="P38" s="73">
        <f t="shared" si="0"/>
        <v>15151.949166666667</v>
      </c>
    </row>
    <row r="39" spans="1:16" ht="21" x14ac:dyDescent="0.35">
      <c r="A39" s="19" t="s">
        <v>111</v>
      </c>
      <c r="B39" s="105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1">
        <f t="shared" si="13"/>
        <v>325491.00000000006</v>
      </c>
      <c r="P39" s="71">
        <f t="shared" si="0"/>
        <v>27124.250000000004</v>
      </c>
    </row>
    <row r="40" spans="1:16" ht="21" x14ac:dyDescent="0.3">
      <c r="A40" s="19" t="s">
        <v>116</v>
      </c>
      <c r="B40" s="105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5">
        <f t="shared" si="15"/>
        <v>3.6195051941319029E-2</v>
      </c>
      <c r="P40" s="75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3">
        <f t="shared" si="13"/>
        <v>270</v>
      </c>
      <c r="P41" s="73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3">
        <f t="shared" si="13"/>
        <v>45075</v>
      </c>
      <c r="P42" s="73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3">
        <f t="shared" si="13"/>
        <v>1351.12</v>
      </c>
      <c r="P43" s="73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3">
        <f t="shared" si="13"/>
        <v>16076.99</v>
      </c>
      <c r="P44" s="73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3">
        <f t="shared" si="13"/>
        <v>420</v>
      </c>
      <c r="P45" s="73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3">
        <f t="shared" si="13"/>
        <v>27.57</v>
      </c>
      <c r="P46" s="73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3">
        <f t="shared" si="13"/>
        <v>54454</v>
      </c>
      <c r="P47" s="73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3">
        <f t="shared" si="13"/>
        <v>3645.92</v>
      </c>
      <c r="P48" s="73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3">
        <f t="shared" si="13"/>
        <v>11000</v>
      </c>
      <c r="P49" s="73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3">
        <f t="shared" si="13"/>
        <v>5900</v>
      </c>
      <c r="P50" s="73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3">
        <f t="shared" si="13"/>
        <v>1251.1499999999999</v>
      </c>
      <c r="P51" s="73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3">
        <f t="shared" si="13"/>
        <v>1400</v>
      </c>
      <c r="P52" s="73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3">
        <f t="shared" si="13"/>
        <v>698.4</v>
      </c>
      <c r="P53" s="73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3">
        <f t="shared" si="13"/>
        <v>4951.5199999999995</v>
      </c>
      <c r="P54" s="73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3">
        <f t="shared" si="13"/>
        <v>153.75</v>
      </c>
      <c r="P55" s="73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3">
        <f t="shared" si="13"/>
        <v>2415</v>
      </c>
      <c r="P56" s="73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3">
        <f t="shared" si="13"/>
        <v>25018.53</v>
      </c>
      <c r="P57" s="73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3">
        <f t="shared" si="13"/>
        <v>4007.24</v>
      </c>
      <c r="P58" s="73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3">
        <f t="shared" si="13"/>
        <v>27.02</v>
      </c>
      <c r="P59" s="73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3">
        <f t="shared" si="13"/>
        <v>5350.04</v>
      </c>
      <c r="P60" s="73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3">
        <f t="shared" si="13"/>
        <v>220</v>
      </c>
      <c r="P61" s="73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3">
        <f t="shared" si="13"/>
        <v>210</v>
      </c>
      <c r="P62" s="73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3">
        <f t="shared" si="13"/>
        <v>20</v>
      </c>
      <c r="P63" s="73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3">
        <f t="shared" si="13"/>
        <v>19139</v>
      </c>
      <c r="P64" s="73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3">
        <f t="shared" si="13"/>
        <v>9563.7999999999993</v>
      </c>
      <c r="P65" s="73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3">
        <f t="shared" si="13"/>
        <v>11564.05</v>
      </c>
      <c r="P66" s="73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3">
        <f t="shared" si="13"/>
        <v>13086.87</v>
      </c>
      <c r="P67" s="73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3">
        <f t="shared" si="13"/>
        <v>14527.610000000002</v>
      </c>
      <c r="P68" s="73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3">
        <f t="shared" si="13"/>
        <v>4767.6999999999989</v>
      </c>
      <c r="P69" s="73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3">
        <f t="shared" si="13"/>
        <v>12835.8</v>
      </c>
      <c r="P70" s="73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3">
        <f t="shared" si="13"/>
        <v>4734.5</v>
      </c>
      <c r="P71" s="73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3">
        <f t="shared" si="13"/>
        <v>4578.92</v>
      </c>
      <c r="P72" s="73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3">
        <f t="shared" si="13"/>
        <v>5059.76</v>
      </c>
      <c r="P73" s="73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3">
        <f t="shared" si="13"/>
        <v>2668.7</v>
      </c>
      <c r="P74" s="73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3">
        <f t="shared" si="13"/>
        <v>531.89</v>
      </c>
      <c r="P75" s="73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3">
        <f t="shared" si="13"/>
        <v>5271.02</v>
      </c>
      <c r="P76" s="73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3">
        <f t="shared" si="13"/>
        <v>20943.949999999997</v>
      </c>
      <c r="P77" s="73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3">
        <f t="shared" si="13"/>
        <v>83.5</v>
      </c>
      <c r="P78" s="73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3">
        <f t="shared" si="13"/>
        <v>4950.03</v>
      </c>
      <c r="P79" s="73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3">
        <f t="shared" si="13"/>
        <v>666.84</v>
      </c>
      <c r="P80" s="73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3">
        <f t="shared" si="13"/>
        <v>803.71</v>
      </c>
      <c r="P81" s="73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3">
        <f t="shared" si="13"/>
        <v>483.84</v>
      </c>
      <c r="P82" s="73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3">
        <f t="shared" si="13"/>
        <v>1666.26</v>
      </c>
      <c r="P83" s="73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3">
        <f t="shared" si="13"/>
        <v>3000</v>
      </c>
      <c r="P84" s="73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3">
        <f t="shared" si="13"/>
        <v>280</v>
      </c>
      <c r="P85" s="73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3">
        <f t="shared" si="13"/>
        <v>340</v>
      </c>
      <c r="P86" s="73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3">
        <f t="shared" si="13"/>
        <v>0</v>
      </c>
      <c r="P87" s="73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3">
        <f t="shared" si="13"/>
        <v>0</v>
      </c>
      <c r="P88" s="73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3">
        <f t="shared" si="13"/>
        <v>0</v>
      </c>
      <c r="P89" s="73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3">
        <f t="shared" si="13"/>
        <v>0</v>
      </c>
      <c r="P90" s="73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3">
        <f t="shared" si="13"/>
        <v>0</v>
      </c>
      <c r="P91" s="73">
        <f t="shared" si="16"/>
        <v>0</v>
      </c>
    </row>
    <row r="92" spans="1:16" ht="15.6" customHeight="1" x14ac:dyDescent="0.35">
      <c r="A92" s="27" t="s">
        <v>113</v>
      </c>
      <c r="B92" s="98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69">
        <f t="shared" si="13"/>
        <v>2217595.5199999996</v>
      </c>
      <c r="P92" s="73">
        <f t="shared" si="16"/>
        <v>184799.62666666662</v>
      </c>
    </row>
    <row r="93" spans="1:16" ht="15.6" customHeight="1" x14ac:dyDescent="0.35">
      <c r="A93" s="27" t="s">
        <v>116</v>
      </c>
      <c r="B93" s="99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6">
        <f t="shared" si="18"/>
        <v>0.24659970638584894</v>
      </c>
      <c r="P93" s="76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89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0">
        <f>SUM(C2:N2)</f>
        <v>8605938.3099999987</v>
      </c>
      <c r="P2" s="80">
        <f>O2/12</f>
        <v>717161.52583333326</v>
      </c>
    </row>
    <row r="3" spans="1:16" x14ac:dyDescent="0.4">
      <c r="A3" s="19" t="s">
        <v>111</v>
      </c>
      <c r="B3" s="102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1">
        <f>SUM(C3:N3)</f>
        <v>256709.33</v>
      </c>
      <c r="P3" s="81">
        <f t="shared" ref="P3:P66" si="1">O3/12</f>
        <v>21392.444166666664</v>
      </c>
    </row>
    <row r="4" spans="1:16" x14ac:dyDescent="0.4">
      <c r="A4" s="19" t="s">
        <v>116</v>
      </c>
      <c r="B4" s="102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2">
        <f t="shared" si="2"/>
        <v>2.9829324909487996E-2</v>
      </c>
      <c r="P4" s="82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3">
        <f>SUM(C5:N5)</f>
        <v>16710.850000000002</v>
      </c>
      <c r="P5" s="83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3">
        <f t="shared" ref="O6:O69" si="3">SUM(C6:N6)</f>
        <v>6734.49</v>
      </c>
      <c r="P6" s="83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3">
        <f t="shared" si="3"/>
        <v>1019.5</v>
      </c>
      <c r="P7" s="83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3">
        <f t="shared" si="3"/>
        <v>6022</v>
      </c>
      <c r="P8" s="83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3">
        <f t="shared" si="3"/>
        <v>1119.1199999999999</v>
      </c>
      <c r="P9" s="83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3">
        <f t="shared" si="3"/>
        <v>599.81999999999994</v>
      </c>
      <c r="P10" s="83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3">
        <f t="shared" si="3"/>
        <v>1457.48</v>
      </c>
      <c r="P11" s="83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3">
        <f t="shared" si="3"/>
        <v>4382.76</v>
      </c>
      <c r="P12" s="83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3">
        <f t="shared" si="3"/>
        <v>1762.6800000000003</v>
      </c>
      <c r="P13" s="83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3">
        <f t="shared" si="3"/>
        <v>6352.4</v>
      </c>
      <c r="P14" s="83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3">
        <f t="shared" si="3"/>
        <v>186871.31</v>
      </c>
      <c r="P15" s="83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3">
        <f t="shared" si="3"/>
        <v>5448.33</v>
      </c>
      <c r="P16" s="83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3">
        <f t="shared" si="3"/>
        <v>6078.76</v>
      </c>
      <c r="P17" s="83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3">
        <f t="shared" si="3"/>
        <v>3807.15</v>
      </c>
      <c r="P18" s="83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3">
        <f t="shared" si="3"/>
        <v>700</v>
      </c>
      <c r="P19" s="83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3">
        <f t="shared" si="3"/>
        <v>3352.3</v>
      </c>
      <c r="P20" s="83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3">
        <f t="shared" si="3"/>
        <v>1100</v>
      </c>
      <c r="P21" s="83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3">
        <f t="shared" si="3"/>
        <v>2214.4700000000003</v>
      </c>
      <c r="P22" s="83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3">
        <f t="shared" si="3"/>
        <v>975.91</v>
      </c>
      <c r="P23" s="83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3"/>
      <c r="P24" s="83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79"/>
      <c r="P25" s="79"/>
    </row>
    <row r="26" spans="1:16" x14ac:dyDescent="0.4">
      <c r="A26" s="19" t="s">
        <v>111</v>
      </c>
      <c r="B26" s="102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1">
        <f t="shared" si="3"/>
        <v>130886.70999999999</v>
      </c>
      <c r="P26" s="81">
        <f t="shared" si="1"/>
        <v>10907.225833333332</v>
      </c>
    </row>
    <row r="27" spans="1:16" x14ac:dyDescent="0.4">
      <c r="A27" s="19" t="s">
        <v>116</v>
      </c>
      <c r="B27" s="102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4">
        <f t="shared" si="5"/>
        <v>1.5208883132233376E-2</v>
      </c>
      <c r="P27" s="84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3">
        <f t="shared" si="3"/>
        <v>25913.14</v>
      </c>
      <c r="P28" s="83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3">
        <f t="shared" si="3"/>
        <v>3975.75</v>
      </c>
      <c r="P29" s="83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3">
        <f t="shared" si="3"/>
        <v>752.5</v>
      </c>
      <c r="P30" s="83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3">
        <f t="shared" si="3"/>
        <v>722.16000000000008</v>
      </c>
      <c r="P31" s="83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3">
        <f t="shared" si="3"/>
        <v>5772.0800000000008</v>
      </c>
      <c r="P32" s="83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3">
        <f t="shared" si="3"/>
        <v>93751.080000000016</v>
      </c>
      <c r="P33" s="83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79"/>
      <c r="P34" s="79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79"/>
      <c r="P35" s="79"/>
    </row>
    <row r="36" spans="1:16" x14ac:dyDescent="0.4">
      <c r="A36" s="19" t="s">
        <v>111</v>
      </c>
      <c r="B36" s="102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1">
        <f t="shared" si="3"/>
        <v>181996.09</v>
      </c>
      <c r="P36" s="81">
        <f t="shared" si="1"/>
        <v>15166.340833333334</v>
      </c>
    </row>
    <row r="37" spans="1:16" x14ac:dyDescent="0.4">
      <c r="A37" s="19" t="s">
        <v>116</v>
      </c>
      <c r="B37" s="102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2">
        <f>IFERROR(O36/O2,0)</f>
        <v>2.1147733511931253E-2</v>
      </c>
      <c r="P37" s="82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3">
        <f t="shared" si="3"/>
        <v>172.7</v>
      </c>
      <c r="P38" s="83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3">
        <f t="shared" si="3"/>
        <v>181823.39</v>
      </c>
      <c r="P39" s="83">
        <f t="shared" si="1"/>
        <v>15151.949166666667</v>
      </c>
    </row>
    <row r="40" spans="1:16" x14ac:dyDescent="0.4">
      <c r="A40" s="19" t="s">
        <v>111</v>
      </c>
      <c r="B40" s="102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1">
        <f t="shared" si="3"/>
        <v>325491.00000000006</v>
      </c>
      <c r="P40" s="81">
        <f t="shared" si="1"/>
        <v>27124.250000000004</v>
      </c>
    </row>
    <row r="41" spans="1:16" x14ac:dyDescent="0.3">
      <c r="A41" s="19" t="s">
        <v>116</v>
      </c>
      <c r="B41" s="102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5">
        <f t="shared" si="9"/>
        <v>3.7821674787255143E-2</v>
      </c>
      <c r="P41" s="85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3">
        <f t="shared" si="3"/>
        <v>270</v>
      </c>
      <c r="P42" s="83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3">
        <f t="shared" si="3"/>
        <v>45075</v>
      </c>
      <c r="P43" s="83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3">
        <f t="shared" si="3"/>
        <v>1351.12</v>
      </c>
      <c r="P44" s="83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3">
        <f t="shared" si="3"/>
        <v>16076.99</v>
      </c>
      <c r="P45" s="83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3">
        <f t="shared" si="3"/>
        <v>420</v>
      </c>
      <c r="P46" s="83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3">
        <f t="shared" si="3"/>
        <v>27.57</v>
      </c>
      <c r="P47" s="83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3">
        <f t="shared" si="3"/>
        <v>54454</v>
      </c>
      <c r="P48" s="83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3">
        <f t="shared" si="3"/>
        <v>3645.92</v>
      </c>
      <c r="P49" s="83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3">
        <f t="shared" si="3"/>
        <v>11000</v>
      </c>
      <c r="P50" s="83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3">
        <f t="shared" si="3"/>
        <v>5900</v>
      </c>
      <c r="P51" s="83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3">
        <f t="shared" si="3"/>
        <v>1251.1499999999999</v>
      </c>
      <c r="P52" s="83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3">
        <f t="shared" si="3"/>
        <v>1400</v>
      </c>
      <c r="P53" s="83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3">
        <f t="shared" si="3"/>
        <v>698.4</v>
      </c>
      <c r="P54" s="83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3">
        <f t="shared" si="3"/>
        <v>4951.5199999999995</v>
      </c>
      <c r="P55" s="83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3">
        <f t="shared" si="3"/>
        <v>153.75</v>
      </c>
      <c r="P56" s="83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3">
        <f t="shared" si="3"/>
        <v>2415</v>
      </c>
      <c r="P57" s="83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3">
        <f t="shared" si="3"/>
        <v>25018.53</v>
      </c>
      <c r="P58" s="83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3">
        <f t="shared" si="3"/>
        <v>4007.24</v>
      </c>
      <c r="P59" s="83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3">
        <f t="shared" si="3"/>
        <v>27.02</v>
      </c>
      <c r="P60" s="83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3">
        <f t="shared" si="3"/>
        <v>5350.04</v>
      </c>
      <c r="P61" s="83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3">
        <f t="shared" si="3"/>
        <v>220</v>
      </c>
      <c r="P62" s="83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3">
        <f t="shared" si="3"/>
        <v>210</v>
      </c>
      <c r="P63" s="83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3">
        <f t="shared" si="3"/>
        <v>20</v>
      </c>
      <c r="P64" s="83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3">
        <f t="shared" si="3"/>
        <v>19139</v>
      </c>
      <c r="P65" s="83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3">
        <f t="shared" si="3"/>
        <v>9563.7999999999993</v>
      </c>
      <c r="P66" s="83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3">
        <f t="shared" si="3"/>
        <v>11564.05</v>
      </c>
      <c r="P67" s="83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3">
        <f t="shared" si="3"/>
        <v>13086.87</v>
      </c>
      <c r="P68" s="83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3">
        <f t="shared" si="3"/>
        <v>14527.610000000002</v>
      </c>
      <c r="P69" s="83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3">
        <f t="shared" ref="O70:O113" si="11">SUM(C70:N70)</f>
        <v>4767.6999999999989</v>
      </c>
      <c r="P70" s="83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3">
        <f t="shared" si="11"/>
        <v>12835.8</v>
      </c>
      <c r="P71" s="83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3">
        <f t="shared" si="11"/>
        <v>4734.5</v>
      </c>
      <c r="P72" s="83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3">
        <f t="shared" si="11"/>
        <v>4578.92</v>
      </c>
      <c r="P73" s="83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3">
        <f t="shared" si="11"/>
        <v>5059.76</v>
      </c>
      <c r="P74" s="83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3">
        <f t="shared" si="11"/>
        <v>2668.7</v>
      </c>
      <c r="P75" s="83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3">
        <f t="shared" si="11"/>
        <v>531.89</v>
      </c>
      <c r="P76" s="83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3">
        <f t="shared" si="11"/>
        <v>5271.02</v>
      </c>
      <c r="P77" s="83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3">
        <f t="shared" si="11"/>
        <v>20943.949999999997</v>
      </c>
      <c r="P78" s="83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3">
        <f t="shared" si="11"/>
        <v>83.5</v>
      </c>
      <c r="P79" s="83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3">
        <f t="shared" si="11"/>
        <v>4950.03</v>
      </c>
      <c r="P80" s="83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3">
        <f t="shared" si="11"/>
        <v>666.84</v>
      </c>
      <c r="P81" s="83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3">
        <f t="shared" si="11"/>
        <v>803.71</v>
      </c>
      <c r="P82" s="83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3">
        <f t="shared" si="11"/>
        <v>483.84</v>
      </c>
      <c r="P83" s="83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3">
        <f t="shared" si="11"/>
        <v>1666.26</v>
      </c>
      <c r="P84" s="83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3">
        <f t="shared" si="11"/>
        <v>3000</v>
      </c>
      <c r="P85" s="83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3">
        <f t="shared" si="11"/>
        <v>280</v>
      </c>
      <c r="P86" s="83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3">
        <f t="shared" si="11"/>
        <v>340</v>
      </c>
      <c r="P87" s="83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79"/>
      <c r="P88" s="79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79"/>
      <c r="P89" s="79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79"/>
      <c r="P90" s="79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79"/>
      <c r="P91" s="79"/>
    </row>
    <row r="92" spans="1:16" x14ac:dyDescent="0.4">
      <c r="A92" s="19" t="s">
        <v>111</v>
      </c>
      <c r="B92" s="106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6">
        <f t="shared" si="11"/>
        <v>616539.12000000011</v>
      </c>
      <c r="P92" s="86">
        <f t="shared" si="10"/>
        <v>51378.260000000009</v>
      </c>
    </row>
    <row r="93" spans="1:16" x14ac:dyDescent="0.4">
      <c r="A93" s="19" t="s">
        <v>120</v>
      </c>
      <c r="B93" s="106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7">
        <f t="shared" si="13"/>
        <v>7.1641127067293628E-2</v>
      </c>
      <c r="P93" s="87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3">
        <f t="shared" si="11"/>
        <v>616539.12000000011</v>
      </c>
      <c r="P94" s="83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79"/>
      <c r="P95" s="79"/>
    </row>
    <row r="96" spans="1:16" x14ac:dyDescent="0.4">
      <c r="A96" s="19" t="s">
        <v>111</v>
      </c>
      <c r="B96" s="107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1">
        <f t="shared" si="11"/>
        <v>6955714.5599999996</v>
      </c>
      <c r="P96" s="81">
        <f t="shared" si="10"/>
        <v>579642.88</v>
      </c>
    </row>
    <row r="97" spans="1:16" x14ac:dyDescent="0.4">
      <c r="A97" s="19" t="s">
        <v>120</v>
      </c>
      <c r="B97" s="108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7">
        <f t="shared" si="15"/>
        <v>0.80824592385440897</v>
      </c>
      <c r="P97" s="87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3">
        <f t="shared" si="11"/>
        <v>124447.81</v>
      </c>
      <c r="P98" s="83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3">
        <f t="shared" si="11"/>
        <v>10458.140000000001</v>
      </c>
      <c r="P99" s="83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3">
        <f t="shared" si="11"/>
        <v>41740</v>
      </c>
      <c r="P100" s="83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3">
        <f t="shared" si="11"/>
        <v>2204387.9</v>
      </c>
      <c r="P101" s="83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6">
        <v>0</v>
      </c>
      <c r="O102" s="83">
        <f t="shared" si="11"/>
        <v>3583308.15</v>
      </c>
      <c r="P102" s="83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3">
        <f t="shared" si="11"/>
        <v>8579.119999999999</v>
      </c>
      <c r="P103" s="83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3">
        <f t="shared" si="11"/>
        <v>141.55000000000001</v>
      </c>
      <c r="P104" s="83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3">
        <f t="shared" si="11"/>
        <v>942767.78</v>
      </c>
      <c r="P105" s="83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3">
        <f t="shared" si="11"/>
        <v>39884.11</v>
      </c>
      <c r="P106" s="83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8">
        <v>0</v>
      </c>
      <c r="P107" s="88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8">
        <v>0</v>
      </c>
      <c r="P108" s="88">
        <v>0</v>
      </c>
    </row>
    <row r="109" spans="1:16" ht="21.6" thickBot="1" x14ac:dyDescent="0.45"/>
    <row r="110" spans="1:16" x14ac:dyDescent="0.4">
      <c r="A110" s="35" t="s">
        <v>113</v>
      </c>
      <c r="B110" s="111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0">
        <f t="shared" si="11"/>
        <v>755140.61999999918</v>
      </c>
      <c r="P110" s="90">
        <f t="shared" si="10"/>
        <v>62928.384999999929</v>
      </c>
    </row>
    <row r="111" spans="1:16" ht="21.6" thickBot="1" x14ac:dyDescent="0.45">
      <c r="A111" s="38" t="s">
        <v>120</v>
      </c>
      <c r="B111" s="112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1">
        <f t="shared" si="17"/>
        <v>8.7746459804683319E-2</v>
      </c>
      <c r="P111" s="91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9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0">
        <f t="shared" si="11"/>
        <v>138601.49999999942</v>
      </c>
      <c r="P113" s="90">
        <f t="shared" si="10"/>
        <v>11550.124999999951</v>
      </c>
    </row>
    <row r="114" spans="1:16" ht="21.6" thickBot="1" x14ac:dyDescent="0.45">
      <c r="A114" s="39" t="s">
        <v>120</v>
      </c>
      <c r="B114" s="110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2">
        <f t="shared" si="19"/>
        <v>1.6105332737389729E-2</v>
      </c>
      <c r="P114" s="92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C113:P114">
    <cfRule type="cellIs" dxfId="3" priority="1" operator="greaterThan">
      <formula>0</formula>
    </cfRule>
    <cfRule type="cellIs" dxfId="2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742"/>
  <sheetViews>
    <sheetView tabSelected="1" topLeftCell="A3553" workbookViewId="0">
      <selection activeCell="A3568" sqref="A3568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s="63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s="6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s="63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s="63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s="63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s="63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s="63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s="63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s="63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s="63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s="63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s="6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s="63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s="63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s="63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s="63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s="63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s="63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s="63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s="63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s="63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s="6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s="63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s="63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s="63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s="63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s="63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s="63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s="63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s="63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s="63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s="6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s="63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s="63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s="63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s="63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s="63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s="63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s="63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s="63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s="63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s="6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s="63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s="63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s="63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s="63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s="63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s="63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s="63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s="63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s="63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s="6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s="63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s="63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s="63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s="63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s="63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s="63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s="63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s="63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s="63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s="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s="63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s="63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s="63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s="63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s="63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s="63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s="63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s="63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s="63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s="6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s="63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s="63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s="63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s="63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s="63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s="63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s="63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s="63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s="63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s="6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s="63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s="63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s="63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s="63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s="63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s="63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s="63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s="63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s="63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s="6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s="63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s="63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s="63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s="63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s="63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s="63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s="63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s="63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s="63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s="6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s="63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s="63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s="63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s="63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s="63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s="63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s="63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s="63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s="63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s="6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s="63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s="63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s="63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s="63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s="63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s="63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s="63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s="63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s="63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s="6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s="63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s="63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s="63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s="63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s="63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s="63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s="63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s="63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s="63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s="6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s="63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s="63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s="63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s="63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s="63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s="63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s="63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s="63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s="63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s="6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s="63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s="63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s="63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s="63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s="63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s="63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s="63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s="63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s="63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s="6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s="63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s="63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s="63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s="63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s="63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s="63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s="63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s="63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s="63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s="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s="63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s="63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s="63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s="63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s="63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s="63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s="63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s="63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s="63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s="6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s="63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s="63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s="63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s="63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s="63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s="63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s="63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s="63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s="63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s="6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s="63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s="63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s="63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s="63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s="63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s="63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s="63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s="63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s="63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s="6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s="63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s="63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s="63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s="63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s="63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s="63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s="63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s="63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s="63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s="6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s="63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s="63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s="63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s="63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s="63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s="63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s="63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s="63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s="63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s="6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s="63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s="63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s="63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s="63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s="63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s="63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s="63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s="63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s="63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s="6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s="63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s="63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s="63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s="63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s="63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s="63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s="63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s="63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s="63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s="6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s="63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s="63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s="63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s="63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s="63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s="63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s="63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s="63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s="63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s="6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s="63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s="63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s="63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s="63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s="63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s="63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s="63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s="63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s="63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s="6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s="63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s="63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s="63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s="63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s="63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s="63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s="63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s="63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s="63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s="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s="63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s="63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s="63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s="63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s="63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s="63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s="63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s="63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s="63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s="6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s="63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s="63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s="63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s="63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s="63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s="63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s="63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s="63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s="63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s="6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s="63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s="63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s="63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s="63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s="63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s="63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s="63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s="63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s="63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s="6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s="63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s="63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s="63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s="63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s="63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s="63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s="63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s="63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s="63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s="6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s="63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s="63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s="63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s="63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s="63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s="63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s="63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s="63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s="63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s="6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s="63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s="63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s="63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s="63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s="63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s="63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s="63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s="63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s="63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s="6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s="63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s="63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s="63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s="63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s="63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s="63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s="63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s="63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s="63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s="6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s="63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s="63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s="63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s="63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s="63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s="63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s="63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s="63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s="63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s="6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s="63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s="63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s="63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s="63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s="63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s="63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s="63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s="63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s="63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s="6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s="63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s="63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s="63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s="63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s="63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s="63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s="63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s="63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s="63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s="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s="63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s="63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s="63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s="63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s="63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s="63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s="63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s="63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s="63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s="6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s="63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s="63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s="63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s="63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s="63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s="63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s="63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s="63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s="63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s="6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s="63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s="63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s="63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s="63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s="63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s="63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s="63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s="63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s="63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s="6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s="63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s="63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s="63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s="63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s="63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s="63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s="63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s="63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s="63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s="6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s="63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s="63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s="63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s="63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s="63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s="63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s="63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s="63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s="63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s="6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s="63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s="63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s="63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s="63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s="63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s="63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s="63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s="63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s="63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s="6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s="63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s="63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s="63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s="63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s="63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s="63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s="63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s="63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s="63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s="6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s="63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s="63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s="63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s="63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s="63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s="63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s="63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s="63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s="63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s="6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s="63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s="63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s="63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s="63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s="63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s="63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s="63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s="63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s="63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s="6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s="63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s="63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s="63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s="63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s="63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s="63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s="63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s="63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s="63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s="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s="63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s="63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s="63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s="63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s="63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s="63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s="63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s="63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s="63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s="6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s="63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s="63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s="63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s="63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s="63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s="63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s="63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s="63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s="63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s="6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s="63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s="63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s="63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s="63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s="63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s="63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s="63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s="63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s="63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s="6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s="63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s="63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s="63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s="63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s="63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s="63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s="63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s="63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s="63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s="6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s="63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s="63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s="63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s="63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s="63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s="63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s="63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s="63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s="63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s="6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s="63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s="63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s="63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s="63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s="63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s="63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s="63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s="63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s="63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s="6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s="63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s="63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s="63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s="63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s="63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s="63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s="63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s="63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s="63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s="6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s="63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s="63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s="63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s="63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s="63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s="63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s="63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s="63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s="63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s="6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s="63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s="63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s="63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s="63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s="63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s="63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s="63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s="63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s="63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s="6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s="63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s="63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s="63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s="63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s="63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s="63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s="63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s="63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s="63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s="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s="63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s="63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s="63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s="63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s="63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s="63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s="63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s="63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s="63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s="6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s="63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s="63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s="63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s="63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s="63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s="63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s="63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s="63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s="63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s="6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s="63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s="63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s="63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s="63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s="63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s="63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s="63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s="63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s="63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s="6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s="63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s="63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s="63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s="63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s="63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s="63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s="63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s="63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s="63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s="6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s="63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s="63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s="63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s="63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s="63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s="63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s="63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s="63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s="63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s="6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s="63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s="63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s="63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s="63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s="63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s="63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s="63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s="63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s="63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s="6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s="63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s="63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s="63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s="63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s="63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s="63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s="63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s="63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s="63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s="6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s="63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s="63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s="63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s="63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s="63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s="63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s="63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s="63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s="63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s="6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s="63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s="63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s="63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s="63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s="63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s="63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s="63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s="63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s="63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s="6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s="63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s="63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s="63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s="63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s="63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s="63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s="63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s="63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s="63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s="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s="63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s="63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s="63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s="63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s="63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s="63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s="63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s="63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s="63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s="6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s="63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s="63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s="63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s="63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s="63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s="63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s="63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s="63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s="63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s="6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s="63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s="63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s="63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s="63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s="63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s="63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s="63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s="63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s="63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s="6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s="63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s="63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s="63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s="63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s="63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s="63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s="63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s="63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s="63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s="6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s="63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s="63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s="63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s="63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s="63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s="63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s="63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s="63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s="63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s="6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s="63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s="63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s="63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s="63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s="63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s="63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s="63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s="63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s="63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s="6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s="63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s="63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s="63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s="63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s="63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s="63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s="63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s="63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s="63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s="6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s="63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s="63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s="63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s="63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s="63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s="63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s="63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s="63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s="63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s="6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s="63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s="63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s="63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s="63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s="63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s="63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s="63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s="63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s="63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s="6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s="63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s="63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s="63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s="63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s="63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s="63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s="63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s="63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s="63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s="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s="63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s="63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s="63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s="63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s="63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s="63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s="63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s="63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s="63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s="6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s="63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s="63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s="63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s="63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s="63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s="63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s="63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s="63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s="63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s="6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s="63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s="63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s="63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s="63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s="63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s="63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s="63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s="63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s="63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s="6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s="63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s="63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s="63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s="63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s="63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s="63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s="63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s="63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s="63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s="6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s="63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s="63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s="63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s="63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s="63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s="63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s="63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s="63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s="63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s="6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s="63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s="63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s="63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s="63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s="63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s="63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s="63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s="63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s="63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s="6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s="63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s="63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s="63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s="63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s="63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s="63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s="63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s="63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s="63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s="6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s="63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s="63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s="63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s="63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s="63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s="63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s="63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s="63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s="63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s="6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s="63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s="63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s="63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s="63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s="63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s="63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s="63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s="63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s="63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s="6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s="63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s="63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s="63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s="63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s="63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s="63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s="63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s="63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s="63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s="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s="63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s="63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s="63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s="63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s="63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s="63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s="63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s="63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s="63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s="6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s="63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s="63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s="63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s="63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s="63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s="63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s="63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s="63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s="63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s="6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s="63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s="63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s="63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s="63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s="63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s="63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s="63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s="63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s="63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s="6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s="63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s="63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s="63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s="63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s="63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s="63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s="63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s="63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s="63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s="6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s="63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s="63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s="63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s="63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s="63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s="63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s="63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s="63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s="63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s="6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s="63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s="63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s="63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s="63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s="63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s="63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s="63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s="63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s="63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s="6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s="63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s="63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s="63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s="63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s="63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s="63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s="63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s="63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s="63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s="6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s="63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s="63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s="63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s="63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s="63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s="63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s="63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s="63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s="63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s="6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s="63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s="63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s="63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s="63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s="63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s="63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s="63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s="63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s="63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s="6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s="63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s="63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s="63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s="63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s="63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s="63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s="63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s="63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s="63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s="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s="63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s="63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s="63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s="63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s="63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s="63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s="63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s="63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s="63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s="6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s="63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s="63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s="63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s="63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s="63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s="63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s="63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s="63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s="63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s="6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s="63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s="63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s="63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s="63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s="63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s="63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s="63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s="63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s="63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s="6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s="63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s="63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s="63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s="63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s="63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s="63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s="63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s="63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s="63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s="6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s="63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s="63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s="63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s="63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s="63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s="63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s="63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s="63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s="63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s="6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s="63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s="63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s="63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s="63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s="63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s="63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s="63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s="63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s="63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s="6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s="63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s="63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s="63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s="63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s="63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s="63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s="63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s="63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s="63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s="6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s="63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s="63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s="63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s="63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s="63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s="63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s="63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s="63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s="63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s="6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s="63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s="63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s="63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s="63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s="63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s="63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s="63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s="63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s="63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s="6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s="63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s="63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s="63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s="63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s="63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s="63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s="63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s="63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s="63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s="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s="63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s="63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s="63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s="63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s="63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s="63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s="63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s="63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s="63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s="6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s="63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s="63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s="63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s="63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s="63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s="63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s="63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s="63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s="63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s="6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s="63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s="63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s="63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s="63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s="63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s="63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s="63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s="63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s="63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s="6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s="63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s="63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s="63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s="63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s="63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s="63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s="63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s="63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s="63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s="6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s="63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s="63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s="63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s="63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s="63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s="63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s="63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s="63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s="63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s="6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s="63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s="63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s="63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s="63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s="63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s="63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s="63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s="63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s="63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s="6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s="63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s="63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s="63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s="63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s="63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s="63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s="63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s="63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s="63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s="6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s="63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s="63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s="63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s="63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s="63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s="63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s="63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s="63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s="63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s="6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s="63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s="63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s="63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s="63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s="63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s="63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s="63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s="63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s="63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s="6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s="63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s="63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s="63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s="63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s="63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s="63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s="63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s="63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s="63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s="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s="63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s="63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s="63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s="63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s="63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s="63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s="63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s="63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s="63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s="6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s="63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s="63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s="63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s="63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s="63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s="63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s="63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s="63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s="63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s="6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s="63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s="63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s="63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s="63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s="63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s="63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s="63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s="63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s="63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s="6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s="63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s="63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s="63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s="63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s="63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s="63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s="63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s="63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s="63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s="6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s="63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s="63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s="63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s="63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s="63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s="63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s="63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s="63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s="63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s="6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s="63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s="63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s="63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s="63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s="63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s="63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s="63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s="63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s="63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s="6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s="63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s="63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s="63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s="63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s="63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s="63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s="63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s="63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s="63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s="6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s="63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s="63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s="63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s="63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s="63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s="63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s="63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s="63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s="63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s="6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s="63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s="63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s="63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s="63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s="63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s="63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s="63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s="63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s="63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s="6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s="63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s="63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s="63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s="63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s="63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s="63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s="63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s="63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s="63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s="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s="63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s="63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s="63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s="63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s="63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s="63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s="63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s="63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s="63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s="6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s="63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s="63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s="63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s="63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s="63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s="63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s="63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s="63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s="63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s="6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s="63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s="63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s="63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s="63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s="63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s="63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s="63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s="63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s="63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s="6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s="63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s="63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s="63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s="63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s="63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s="63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s="63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s="63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s="63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s="6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s="63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s="63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s="63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s="63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s="63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s="63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s="63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s="63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s="63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s="6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s="63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s="63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s="63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s="63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s="63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s="63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s="63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s="63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s="63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s="6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s="63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s="63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s="63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s="63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s="63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s="63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s="63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s="63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s="63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s="6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s="63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s="63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s="63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s="63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s="63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s="63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s="63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s="63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s="63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s="6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s="63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s="63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s="63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s="63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s="63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s="63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s="63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s="63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s="63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s="6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s="63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s="63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s="63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s="63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s="63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s="63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s="63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s="63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s="63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s="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s="63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s="63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s="63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s="63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s="63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s="63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s="63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s="63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s="63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s="6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s="63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s="63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s="63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s="63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s="63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s="63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s="63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s="63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s="63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s="6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s="63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s="63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s="63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s="63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s="63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s="63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s="63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s="63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s="63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s="6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s="63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s="63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s="63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s="63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s="63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s="63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s="63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s="63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s="63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s="6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s="63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s="63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s="63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s="63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s="63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s="63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s="63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s="63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s="63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s="6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s="63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s="63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s="63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s="63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s="63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s="63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s="63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s="63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s="63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s="6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s="63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s="63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s="63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s="63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s="63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s="63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s="63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s="63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s="63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s="6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s="63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s="63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s="63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s="63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s="63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s="63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s="63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s="63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s="63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s="6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s="63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s="63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s="63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s="63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s="63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s="63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s="63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s="63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s="63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s="6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s="63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s="63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s="63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s="63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s="63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s="63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s="63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s="63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s="63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s="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s="63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s="63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s="63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s="63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s="63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s="63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s="63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s="63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s="63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s="6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s="63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s="63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s="63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s="63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s="63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s="63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s="63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s="63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s="63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s="6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s="63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s="63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s="63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s="63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s="63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s="63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s="63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s="63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s="63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s="6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s="63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s="63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s="63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s="63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s="63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s="63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s="63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s="63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s="63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s="6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s="63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s="63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s="63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s="63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s="63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s="63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s="63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s="63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s="63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s="6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s="63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s="63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s="63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s="63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s="63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s="63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s="63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s="63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s="63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s="6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s="63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s="63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s="63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s="63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s="63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s="63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s="63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s="63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s="63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s="6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s="63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s="63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s="63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s="63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s="63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s="63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s="63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s="63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s="63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s="6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s="63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s="63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s="63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s="63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s="63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s="63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s="63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s="63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s="63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s="6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s="63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s="63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s="63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s="63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s="63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s="63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s="63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s="63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s="63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s="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s="63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s="63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s="63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s="63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s="63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s="63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s="63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s="63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s="63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s="6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s="63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s="63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s="63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s="63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s="63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s="63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s="63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s="63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s="63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s="6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s="63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s="63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s="63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s="63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s="63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s="63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s="63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s="63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s="63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s="6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s="63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s="63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s="63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s="63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s="63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s="63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s="63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s="63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s="63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s="6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s="63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s="63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s="63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s="63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s="63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s="63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s="63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s="63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s="63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s="6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s="63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s="63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s="63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s="63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s="63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s="63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s="63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s="63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s="63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s="6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s="63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s="63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s="63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s="63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s="63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s="63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s="63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s="63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s="63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s="6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s="63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s="63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s="63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s="63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s="63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s="63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s="63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s="63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s="63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s="6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s="63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s="63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s="63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s="63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s="63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s="63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s="63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s="63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s="63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s="6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s="63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s="63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s="63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s="63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s="63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s="63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s="63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s="63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s="63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s="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s="63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s="63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s="63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s="63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s="63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s="63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s="63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s="63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s="63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s="6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s="63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s="63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s="63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s="63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s="63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s="63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s="63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s="63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s="63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s="6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s="63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s="63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s="63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s="63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s="63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s="63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s="63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s="63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s="63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s="6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s="63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s="63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s="63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s="63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s="63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s="63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s="63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s="63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s="63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s="6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s="63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s="63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s="63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s="63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s="63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s="63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s="63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s="63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s="63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s="6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s="63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s="63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s="63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s="63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s="63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s="63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s="63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s="63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s="63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s="6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s="63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s="63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s="63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s="63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s="63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s="63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s="63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s="63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s="63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s="6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s="63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s="63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s="63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s="63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s="63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s="63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s="63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s="63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s="63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s="6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s="63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s="63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s="63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s="63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s="63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s="63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s="63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s="63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s="63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s="6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s="63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s="63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s="63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s="63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s="63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s="63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s="63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s="63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s="63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s="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s="63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s="63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s="63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s="63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s="63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s="63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s="63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s="63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s="63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s="6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s="63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s="63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s="63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s="63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s="63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s="63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s="63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s="63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s="63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s="6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s="63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s="63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s="63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s="63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s="63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s="63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s="63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s="63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s="63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s="6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s="63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s="63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s="63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s="63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s="63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s="63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s="63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s="63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s="63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s="6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s="63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s="63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s="63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s="63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s="63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s="63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s="63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s="63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s="63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s="6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s="63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s="63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s="63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s="63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s="63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s="63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s="63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s="63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s="63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s="6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s="63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s="63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s="63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s="63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s="63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s="63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s="63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s="63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s="63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s="6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s="63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s="63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s="63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s="63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s="63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s="63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s="63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s="63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s="63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s="6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s="63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s="63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s="63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s="63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s="63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s="63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s="63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s="63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s="63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s="6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s="63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s="63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s="63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s="63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s="63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s="63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s="63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s="63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s="63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s="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s="63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s="63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s="63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s="63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s="63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s="63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s="63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s="63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s="63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s="6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s="63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s="63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s="63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s="63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s="63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s="63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s="63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s="63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s="63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s="6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s="63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s="63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s="63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s="63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s="63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s="63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s="63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s="63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s="63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s="6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s="63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s="63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s="63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s="63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s="63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s="63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s="63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s="63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s="63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s="6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s="63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s="63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s="63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s="63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s="63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s="63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s="63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s="63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s="63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s="6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s="63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s="63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s="63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s="63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s="63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s="63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s="63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s="63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s="63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s="6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s="63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s="63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s="63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s="63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s="63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s="63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s="63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s="63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s="63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s="6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s="63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s="63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s="63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s="63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s="63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s="63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s="63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s="63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s="63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s="6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s="63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s="63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s="63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s="63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s="63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s="63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s="63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s="63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s="63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s="6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s="63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s="63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s="63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s="63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s="63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s="63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s="63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s="63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s="63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s="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s="63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s="63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s="63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s="63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s="63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s="63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s="63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s="63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s="63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s="6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s="63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s="63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s="63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s="63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s="63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s="63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s="63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s="63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s="63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s="6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s="63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s="63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s="63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s="63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s="63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s="63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s="63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s="63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s="63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s="6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s="63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s="63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s="63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s="63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s="63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s="63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s="63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s="63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s="63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s="6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s="63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s="63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s="63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s="63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s="63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s="63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s="63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s="63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s="63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s="6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s="63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s="63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s="63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s="63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s="63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s="63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s="63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s="63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s="63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s="6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s="63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s="63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s="63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s="63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s="63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s="63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s="63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s="63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s="63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s="6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s="63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s="63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s="63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s="63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s="63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s="63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s="63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s="63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s="63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s="6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s="63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s="63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s="63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s="63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s="63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s="63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s="63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s="63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s="63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s="6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s="63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s="63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s="63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s="63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s="63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s="63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s="63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s="63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s="63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s="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s="63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s="63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s="63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s="63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s="63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s="63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s="63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s="63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s="63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s="6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s="63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s="63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s="63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s="63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s="63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s="63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s="63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s="63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s="63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s="6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s="63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s="63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s="63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s="63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s="63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s="63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s="63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s="63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s="63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s="6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s="63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s="63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s="63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s="63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s="63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s="63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s="63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s="63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s="63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s="6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s="63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s="63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s="63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s="63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s="63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s="63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s="63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s="63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s="63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s="6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s="63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s="63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s="63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s="63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s="63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s="63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s="63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s="63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s="63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s="6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s="63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s="63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s="63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s="63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s="63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s="63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s="63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s="63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s="63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s="6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s="63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s="63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s="63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s="63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s="63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s="63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s="63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s="63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s="63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s="6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s="63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s="63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96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96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96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96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96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96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96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96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96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96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96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96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96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96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96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96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96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96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96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96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96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96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96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96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96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96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96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96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96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96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96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96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96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96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96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96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96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96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96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96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96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96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96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96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96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96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96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96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96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96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96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96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96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96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96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96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96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96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96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96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96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96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96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96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96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96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96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96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96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96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96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96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96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96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96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96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96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96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96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96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96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96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96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96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96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96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96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96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96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96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96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96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96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96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96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96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96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96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96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96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96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96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96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96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96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96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96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96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96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96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96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96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96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96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96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96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96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96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96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96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96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96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96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96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96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96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96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96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96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96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96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96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96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96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96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96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96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96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96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96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96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96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96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96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96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96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96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96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96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96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96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96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96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96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96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96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96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96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96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96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96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96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96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96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96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96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96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96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96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96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96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96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96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96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96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96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96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96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96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96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96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96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96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96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96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96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96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96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96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96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96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96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96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96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96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96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96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96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96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96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96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96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96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96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96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96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96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96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96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96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96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96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96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96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96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96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96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96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96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96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96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96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96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96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96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96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96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96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96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96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96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96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96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4">
        <v>2965</v>
      </c>
      <c r="P2379" s="64">
        <v>0</v>
      </c>
      <c r="Q2379" s="64">
        <v>0</v>
      </c>
      <c r="R2379" s="64">
        <v>2965</v>
      </c>
      <c r="S2379" t="s">
        <v>155</v>
      </c>
    </row>
    <row r="2380" spans="1:19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96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4">
        <v>72.98</v>
      </c>
      <c r="P2380" s="64">
        <v>0</v>
      </c>
      <c r="Q2380" s="64">
        <v>0</v>
      </c>
      <c r="R2380" s="64">
        <v>72.98</v>
      </c>
      <c r="S2380" t="s">
        <v>155</v>
      </c>
    </row>
    <row r="2381" spans="1:19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96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4">
        <v>34.99</v>
      </c>
      <c r="P2381" s="64">
        <v>0</v>
      </c>
      <c r="Q2381" s="64">
        <v>0</v>
      </c>
      <c r="R2381" s="64">
        <v>34.99</v>
      </c>
      <c r="S2381" t="s">
        <v>155</v>
      </c>
    </row>
    <row r="2382" spans="1:19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96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4">
        <v>20.53</v>
      </c>
      <c r="P2382" s="64">
        <v>0</v>
      </c>
      <c r="Q2382" s="64">
        <v>0</v>
      </c>
      <c r="R2382" s="64">
        <v>20.53</v>
      </c>
      <c r="S2382" t="s">
        <v>155</v>
      </c>
    </row>
    <row r="2383" spans="1:19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96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4">
        <v>8.5399999999999991</v>
      </c>
      <c r="P2383" s="64">
        <v>0</v>
      </c>
      <c r="Q2383" s="64">
        <v>0</v>
      </c>
      <c r="R2383" s="64">
        <v>8.5399999999999991</v>
      </c>
      <c r="S2383" t="s">
        <v>155</v>
      </c>
    </row>
    <row r="2384" spans="1:19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96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4">
        <v>64</v>
      </c>
      <c r="P2384" s="64">
        <v>0</v>
      </c>
      <c r="Q2384" s="64">
        <v>0</v>
      </c>
      <c r="R2384" s="64">
        <v>64</v>
      </c>
      <c r="S2384" t="s">
        <v>155</v>
      </c>
    </row>
    <row r="2385" spans="1:19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96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4">
        <v>1006.5</v>
      </c>
      <c r="P2385" s="64">
        <v>0</v>
      </c>
      <c r="Q2385" s="64">
        <v>0</v>
      </c>
      <c r="R2385" s="64">
        <v>1006.5</v>
      </c>
      <c r="S2385" t="s">
        <v>155</v>
      </c>
    </row>
    <row r="2386" spans="1:19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96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4">
        <v>36.99</v>
      </c>
      <c r="P2386" s="64">
        <v>0</v>
      </c>
      <c r="Q2386" s="64">
        <v>0</v>
      </c>
      <c r="R2386" s="64">
        <v>36.99</v>
      </c>
      <c r="S2386" t="s">
        <v>155</v>
      </c>
    </row>
    <row r="2387" spans="1:19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96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4">
        <v>1598.96</v>
      </c>
      <c r="P2387" s="64">
        <v>0</v>
      </c>
      <c r="Q2387" s="64">
        <v>0</v>
      </c>
      <c r="R2387" s="64">
        <v>1598.96</v>
      </c>
      <c r="S2387" t="s">
        <v>155</v>
      </c>
    </row>
    <row r="2388" spans="1:19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96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4">
        <v>24</v>
      </c>
      <c r="P2388" s="64">
        <v>0</v>
      </c>
      <c r="Q2388" s="64">
        <v>0</v>
      </c>
      <c r="R2388" s="64">
        <v>24</v>
      </c>
      <c r="S2388" t="s">
        <v>155</v>
      </c>
    </row>
    <row r="2389" spans="1:19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96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4">
        <v>150</v>
      </c>
      <c r="P2389" s="64">
        <v>0</v>
      </c>
      <c r="Q2389" s="64">
        <v>0</v>
      </c>
      <c r="R2389" s="64">
        <v>150</v>
      </c>
      <c r="S2389" t="s">
        <v>155</v>
      </c>
    </row>
    <row r="2390" spans="1:19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96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4">
        <v>474.28</v>
      </c>
      <c r="P2390" s="64">
        <v>0</v>
      </c>
      <c r="Q2390" s="64">
        <v>0</v>
      </c>
      <c r="R2390" s="64">
        <v>474.28</v>
      </c>
      <c r="S2390" t="s">
        <v>155</v>
      </c>
    </row>
    <row r="2391" spans="1:19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96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4">
        <v>12.48</v>
      </c>
      <c r="P2391" s="64">
        <v>0</v>
      </c>
      <c r="Q2391" s="64">
        <v>0</v>
      </c>
      <c r="R2391" s="64">
        <v>12.48</v>
      </c>
      <c r="S2391" t="s">
        <v>155</v>
      </c>
    </row>
    <row r="2392" spans="1:19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96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4">
        <v>8.25</v>
      </c>
      <c r="P2392" s="64">
        <v>0</v>
      </c>
      <c r="Q2392" s="64">
        <v>0</v>
      </c>
      <c r="R2392" s="64">
        <v>8.25</v>
      </c>
      <c r="S2392" t="s">
        <v>155</v>
      </c>
    </row>
    <row r="2393" spans="1:19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96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4">
        <v>3.54</v>
      </c>
      <c r="P2393" s="64">
        <v>0</v>
      </c>
      <c r="Q2393" s="64">
        <v>0</v>
      </c>
      <c r="R2393" s="64">
        <v>3.54</v>
      </c>
      <c r="S2393" t="s">
        <v>155</v>
      </c>
    </row>
    <row r="2394" spans="1:19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96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4">
        <v>20.98</v>
      </c>
      <c r="P2394" s="64">
        <v>0</v>
      </c>
      <c r="Q2394" s="64">
        <v>0</v>
      </c>
      <c r="R2394" s="64">
        <v>20.98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96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4">
        <v>20</v>
      </c>
      <c r="P2395" s="64">
        <v>0</v>
      </c>
      <c r="Q2395" s="64">
        <v>0</v>
      </c>
      <c r="R2395" s="64">
        <v>20</v>
      </c>
      <c r="S2395" t="s">
        <v>155</v>
      </c>
    </row>
    <row r="2396" spans="1:19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96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4">
        <v>35</v>
      </c>
      <c r="P2396" s="64">
        <v>0</v>
      </c>
      <c r="Q2396" s="64">
        <v>0</v>
      </c>
      <c r="R2396" s="64">
        <v>35</v>
      </c>
      <c r="S2396" t="s">
        <v>155</v>
      </c>
    </row>
    <row r="2397" spans="1:19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96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4">
        <v>46.96</v>
      </c>
      <c r="P2397" s="64">
        <v>0</v>
      </c>
      <c r="Q2397" s="64">
        <v>0</v>
      </c>
      <c r="R2397" s="64">
        <v>46.96</v>
      </c>
      <c r="S2397" t="s">
        <v>155</v>
      </c>
    </row>
    <row r="2398" spans="1:19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96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4">
        <v>23.9</v>
      </c>
      <c r="P2398" s="64">
        <v>0</v>
      </c>
      <c r="Q2398" s="64">
        <v>0</v>
      </c>
      <c r="R2398" s="64">
        <v>23.9</v>
      </c>
      <c r="S2398" t="s">
        <v>155</v>
      </c>
    </row>
    <row r="2399" spans="1:19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96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4">
        <v>150</v>
      </c>
      <c r="P2399" s="64">
        <v>0</v>
      </c>
      <c r="Q2399" s="64">
        <v>0</v>
      </c>
      <c r="R2399" s="64">
        <v>150</v>
      </c>
      <c r="S2399" t="s">
        <v>155</v>
      </c>
    </row>
    <row r="2400" spans="1:19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96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4">
        <v>100000</v>
      </c>
      <c r="P2400" s="64">
        <v>0</v>
      </c>
      <c r="Q2400" s="64">
        <v>0</v>
      </c>
      <c r="R2400" s="64">
        <v>100000</v>
      </c>
      <c r="S2400" t="s">
        <v>155</v>
      </c>
    </row>
    <row r="2401" spans="1:19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96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4">
        <v>4.8</v>
      </c>
      <c r="P2401" s="64">
        <v>0</v>
      </c>
      <c r="Q2401" s="64">
        <v>0</v>
      </c>
      <c r="R2401" s="64">
        <v>4.8</v>
      </c>
      <c r="S2401" t="s">
        <v>155</v>
      </c>
    </row>
    <row r="2402" spans="1:19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96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4">
        <v>2.1</v>
      </c>
      <c r="P2402" s="64">
        <v>0</v>
      </c>
      <c r="Q2402" s="64">
        <v>0</v>
      </c>
      <c r="R2402" s="64">
        <v>2.1</v>
      </c>
      <c r="S2402" t="s">
        <v>155</v>
      </c>
    </row>
    <row r="2403" spans="1:19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96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4">
        <v>11.88</v>
      </c>
      <c r="P2403" s="64">
        <v>0</v>
      </c>
      <c r="Q2403" s="64">
        <v>0</v>
      </c>
      <c r="R2403" s="64">
        <v>11.88</v>
      </c>
      <c r="S2403" t="s">
        <v>155</v>
      </c>
    </row>
    <row r="2404" spans="1:19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96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4">
        <v>5.5</v>
      </c>
      <c r="P2404" s="64">
        <v>0</v>
      </c>
      <c r="Q2404" s="64">
        <v>0</v>
      </c>
      <c r="R2404" s="64">
        <v>5.5</v>
      </c>
      <c r="S2404" t="s">
        <v>155</v>
      </c>
    </row>
    <row r="2405" spans="1:19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96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4">
        <v>10.62</v>
      </c>
      <c r="P2405" s="64">
        <v>0</v>
      </c>
      <c r="Q2405" s="64">
        <v>0</v>
      </c>
      <c r="R2405" s="64">
        <v>10.62</v>
      </c>
      <c r="S2405" t="s">
        <v>155</v>
      </c>
    </row>
    <row r="2406" spans="1:19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96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4">
        <v>2100</v>
      </c>
      <c r="P2406" s="64">
        <v>0</v>
      </c>
      <c r="Q2406" s="64">
        <v>0</v>
      </c>
      <c r="R2406" s="64">
        <v>2100</v>
      </c>
      <c r="S2406" t="s">
        <v>155</v>
      </c>
    </row>
    <row r="2407" spans="1:19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96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4">
        <v>70</v>
      </c>
      <c r="P2407" s="64">
        <v>0</v>
      </c>
      <c r="Q2407" s="64">
        <v>0</v>
      </c>
      <c r="R2407" s="64">
        <v>70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96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4">
        <v>100</v>
      </c>
      <c r="P2408" s="64">
        <v>0</v>
      </c>
      <c r="Q2408" s="64">
        <v>0</v>
      </c>
      <c r="R2408" s="64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96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4">
        <v>1197.5</v>
      </c>
      <c r="P2409" s="64">
        <v>0</v>
      </c>
      <c r="Q2409" s="64">
        <v>0</v>
      </c>
      <c r="R2409" s="64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96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4">
        <v>14.1</v>
      </c>
      <c r="P2410" s="64">
        <v>0</v>
      </c>
      <c r="Q2410" s="64">
        <v>0</v>
      </c>
      <c r="R2410" s="64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96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4">
        <v>100</v>
      </c>
      <c r="P2411" s="64">
        <v>0</v>
      </c>
      <c r="Q2411" s="64">
        <v>0</v>
      </c>
      <c r="R2411" s="64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96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4">
        <v>6.26</v>
      </c>
      <c r="P2412" s="64">
        <v>0</v>
      </c>
      <c r="Q2412" s="64">
        <v>0</v>
      </c>
      <c r="R2412" s="64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96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4">
        <v>500</v>
      </c>
      <c r="P2413" s="64">
        <v>0</v>
      </c>
      <c r="Q2413" s="64">
        <v>0</v>
      </c>
      <c r="R2413" s="64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96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4">
        <v>19.920000000000002</v>
      </c>
      <c r="P2414" s="64">
        <v>0</v>
      </c>
      <c r="Q2414" s="64">
        <v>0</v>
      </c>
      <c r="R2414" s="64">
        <v>19.920000000000002</v>
      </c>
      <c r="S2414" t="s">
        <v>155</v>
      </c>
    </row>
    <row r="2415" spans="1:19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96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4">
        <v>18</v>
      </c>
      <c r="P2415" s="64">
        <v>0</v>
      </c>
      <c r="Q2415" s="64">
        <v>0</v>
      </c>
      <c r="R2415" s="64">
        <v>18</v>
      </c>
      <c r="S2415" t="s">
        <v>155</v>
      </c>
    </row>
    <row r="2416" spans="1:19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96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4">
        <v>35.99</v>
      </c>
      <c r="P2416" s="64">
        <v>0</v>
      </c>
      <c r="Q2416" s="64">
        <v>0</v>
      </c>
      <c r="R2416" s="64">
        <v>35.99</v>
      </c>
      <c r="S2416" t="s">
        <v>155</v>
      </c>
    </row>
    <row r="2417" spans="1:19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96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4">
        <v>30</v>
      </c>
      <c r="P2417" s="64">
        <v>0</v>
      </c>
      <c r="Q2417" s="64">
        <v>0</v>
      </c>
      <c r="R2417" s="64">
        <v>30</v>
      </c>
      <c r="S2417" t="s">
        <v>155</v>
      </c>
    </row>
    <row r="2418" spans="1:19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96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4">
        <v>5.18</v>
      </c>
      <c r="P2418" s="64">
        <v>0</v>
      </c>
      <c r="Q2418" s="64">
        <v>0</v>
      </c>
      <c r="R2418" s="64">
        <v>5.18</v>
      </c>
      <c r="S2418" t="s">
        <v>155</v>
      </c>
    </row>
    <row r="2419" spans="1:19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96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4">
        <v>3.13</v>
      </c>
      <c r="P2419" s="64">
        <v>0</v>
      </c>
      <c r="Q2419" s="64">
        <v>0</v>
      </c>
      <c r="R2419" s="64">
        <v>3.13</v>
      </c>
      <c r="S2419" t="s">
        <v>155</v>
      </c>
    </row>
    <row r="2420" spans="1:19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96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4">
        <v>0.04</v>
      </c>
      <c r="P2420" s="64">
        <v>0</v>
      </c>
      <c r="Q2420" s="64">
        <v>0</v>
      </c>
      <c r="R2420" s="64">
        <v>0.04</v>
      </c>
      <c r="S2420" t="s">
        <v>155</v>
      </c>
    </row>
    <row r="2421" spans="1:19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96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4">
        <v>217.26</v>
      </c>
      <c r="P2421" s="64">
        <v>0</v>
      </c>
      <c r="Q2421" s="64">
        <v>0</v>
      </c>
      <c r="R2421" s="64">
        <v>217.26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96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4">
        <v>31.95</v>
      </c>
      <c r="P2422" s="64">
        <v>0</v>
      </c>
      <c r="Q2422" s="64">
        <v>0</v>
      </c>
      <c r="R2422" s="64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96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4">
        <v>31.94</v>
      </c>
      <c r="P2423" s="64">
        <v>0</v>
      </c>
      <c r="Q2423" s="64">
        <v>0</v>
      </c>
      <c r="R2423" s="64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96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4">
        <v>3000</v>
      </c>
      <c r="P2424" s="64">
        <v>0</v>
      </c>
      <c r="Q2424" s="64">
        <v>0</v>
      </c>
      <c r="R2424" s="64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96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4">
        <v>42.92</v>
      </c>
      <c r="P2425" s="64">
        <v>0</v>
      </c>
      <c r="Q2425" s="64">
        <v>0</v>
      </c>
      <c r="R2425" s="64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96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4">
        <v>35.67</v>
      </c>
      <c r="P2426" s="64">
        <v>0</v>
      </c>
      <c r="Q2426" s="64">
        <v>0</v>
      </c>
      <c r="R2426" s="64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96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4">
        <v>12.52</v>
      </c>
      <c r="P2427" s="64">
        <v>0</v>
      </c>
      <c r="Q2427" s="64">
        <v>0</v>
      </c>
      <c r="R2427" s="64">
        <v>12.52</v>
      </c>
      <c r="S2427" t="s">
        <v>155</v>
      </c>
    </row>
    <row r="2428" spans="1:19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96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4">
        <v>99.69</v>
      </c>
      <c r="P2428" s="64">
        <v>0</v>
      </c>
      <c r="Q2428" s="64">
        <v>0</v>
      </c>
      <c r="R2428" s="64">
        <v>99.69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96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4">
        <v>100</v>
      </c>
      <c r="P2429" s="64">
        <v>0</v>
      </c>
      <c r="Q2429" s="64">
        <v>0</v>
      </c>
      <c r="R2429" s="64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96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4">
        <v>245.12</v>
      </c>
      <c r="P2430" s="64">
        <v>0</v>
      </c>
      <c r="Q2430" s="64">
        <v>0</v>
      </c>
      <c r="R2430" s="64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96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4">
        <v>650</v>
      </c>
      <c r="P2431" s="64">
        <v>0</v>
      </c>
      <c r="Q2431" s="64">
        <v>0</v>
      </c>
      <c r="R2431" s="64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96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4">
        <v>1200</v>
      </c>
      <c r="P2432" s="64">
        <v>0</v>
      </c>
      <c r="Q2432" s="64">
        <v>0</v>
      </c>
      <c r="R2432" s="64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96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4">
        <v>150</v>
      </c>
      <c r="P2433" s="64">
        <v>0</v>
      </c>
      <c r="Q2433" s="64">
        <v>0</v>
      </c>
      <c r="R2433" s="64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96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4">
        <v>3.13</v>
      </c>
      <c r="P2434" s="64">
        <v>0</v>
      </c>
      <c r="Q2434" s="64">
        <v>0</v>
      </c>
      <c r="R2434" s="64">
        <v>3.13</v>
      </c>
      <c r="S2434" t="s">
        <v>155</v>
      </c>
    </row>
    <row r="2435" spans="1:19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96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4">
        <v>35</v>
      </c>
      <c r="P2435" s="64">
        <v>0</v>
      </c>
      <c r="Q2435" s="64">
        <v>0</v>
      </c>
      <c r="R2435" s="64">
        <v>35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96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4">
        <v>5.31</v>
      </c>
      <c r="P2436" s="64">
        <v>0</v>
      </c>
      <c r="Q2436" s="64">
        <v>0</v>
      </c>
      <c r="R2436" s="64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96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4">
        <v>11.88</v>
      </c>
      <c r="P2437" s="64">
        <v>0</v>
      </c>
      <c r="Q2437" s="64">
        <v>0</v>
      </c>
      <c r="R2437" s="64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96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4">
        <v>6.26</v>
      </c>
      <c r="P2438" s="64">
        <v>0</v>
      </c>
      <c r="Q2438" s="64">
        <v>0</v>
      </c>
      <c r="R2438" s="64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96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4">
        <v>3.4</v>
      </c>
      <c r="P2439" s="64">
        <v>0</v>
      </c>
      <c r="Q2439" s="64">
        <v>0</v>
      </c>
      <c r="R2439" s="64">
        <v>3.4</v>
      </c>
      <c r="S2439" t="s">
        <v>155</v>
      </c>
    </row>
    <row r="2440" spans="1:19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96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4">
        <v>4066.34</v>
      </c>
      <c r="P2440" s="64">
        <v>0</v>
      </c>
      <c r="Q2440" s="64">
        <v>0</v>
      </c>
      <c r="R2440" s="64">
        <v>4066.34</v>
      </c>
      <c r="S2440" t="s">
        <v>155</v>
      </c>
    </row>
    <row r="2441" spans="1:19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96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4">
        <v>30</v>
      </c>
      <c r="P2441" s="64">
        <v>0</v>
      </c>
      <c r="Q2441" s="64">
        <v>0</v>
      </c>
      <c r="R2441" s="64">
        <v>30</v>
      </c>
      <c r="S2441" t="s">
        <v>155</v>
      </c>
    </row>
    <row r="2442" spans="1:19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96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4">
        <v>104.5</v>
      </c>
      <c r="P2442" s="64">
        <v>0</v>
      </c>
      <c r="Q2442" s="64">
        <v>0</v>
      </c>
      <c r="R2442" s="64">
        <v>104.5</v>
      </c>
      <c r="S2442" t="s">
        <v>155</v>
      </c>
    </row>
    <row r="2443" spans="1:19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96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4">
        <v>500</v>
      </c>
      <c r="P2443" s="64">
        <v>0</v>
      </c>
      <c r="Q2443" s="64">
        <v>0</v>
      </c>
      <c r="R2443" s="64">
        <v>500</v>
      </c>
      <c r="S2443" t="s">
        <v>155</v>
      </c>
    </row>
    <row r="2444" spans="1:19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96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4">
        <v>292.04000000000002</v>
      </c>
      <c r="P2444" s="64">
        <v>0</v>
      </c>
      <c r="Q2444" s="64">
        <v>0</v>
      </c>
      <c r="R2444" s="64">
        <v>292.04000000000002</v>
      </c>
      <c r="S2444" t="s">
        <v>155</v>
      </c>
    </row>
    <row r="2445" spans="1:19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96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4">
        <v>310.18</v>
      </c>
      <c r="P2445" s="64">
        <v>0</v>
      </c>
      <c r="Q2445" s="64">
        <v>0</v>
      </c>
      <c r="R2445" s="64">
        <v>310.18</v>
      </c>
      <c r="S2445" t="s">
        <v>155</v>
      </c>
    </row>
    <row r="2446" spans="1:19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96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4">
        <v>213.42</v>
      </c>
      <c r="P2446" s="64">
        <v>0</v>
      </c>
      <c r="Q2446" s="64">
        <v>0</v>
      </c>
      <c r="R2446" s="64">
        <v>213.42</v>
      </c>
      <c r="S2446" t="s">
        <v>155</v>
      </c>
    </row>
    <row r="2447" spans="1:19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96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4">
        <v>259.22000000000003</v>
      </c>
      <c r="P2447" s="64">
        <v>0</v>
      </c>
      <c r="Q2447" s="64">
        <v>0</v>
      </c>
      <c r="R2447" s="64">
        <v>259.22000000000003</v>
      </c>
      <c r="S2447" t="s">
        <v>155</v>
      </c>
    </row>
    <row r="2448" spans="1:19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96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4">
        <v>750</v>
      </c>
      <c r="P2448" s="64">
        <v>0</v>
      </c>
      <c r="Q2448" s="64">
        <v>0</v>
      </c>
      <c r="R2448" s="64">
        <v>750</v>
      </c>
      <c r="S2448" t="s">
        <v>155</v>
      </c>
    </row>
    <row r="2449" spans="1:19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96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4">
        <v>268.02999999999997</v>
      </c>
      <c r="P2449" s="64">
        <v>0</v>
      </c>
      <c r="Q2449" s="64">
        <v>0</v>
      </c>
      <c r="R2449" s="64">
        <v>268.02999999999997</v>
      </c>
      <c r="S2449" t="s">
        <v>155</v>
      </c>
    </row>
    <row r="2450" spans="1:19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96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4">
        <v>50</v>
      </c>
      <c r="P2450" s="64">
        <v>0</v>
      </c>
      <c r="Q2450" s="64">
        <v>0</v>
      </c>
      <c r="R2450" s="64">
        <v>50</v>
      </c>
      <c r="S2450" t="s">
        <v>155</v>
      </c>
    </row>
    <row r="2451" spans="1:19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96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4">
        <v>290</v>
      </c>
      <c r="P2451" s="64">
        <v>0</v>
      </c>
      <c r="Q2451" s="64">
        <v>0</v>
      </c>
      <c r="R2451" s="64">
        <v>290</v>
      </c>
      <c r="S2451" t="s">
        <v>155</v>
      </c>
    </row>
    <row r="2452" spans="1:19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96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4">
        <v>60</v>
      </c>
      <c r="P2452" s="64">
        <v>0</v>
      </c>
      <c r="Q2452" s="64">
        <v>0</v>
      </c>
      <c r="R2452" s="64">
        <v>60</v>
      </c>
      <c r="S2452" t="s">
        <v>155</v>
      </c>
    </row>
    <row r="2453" spans="1:19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96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4">
        <v>515.38</v>
      </c>
      <c r="P2453" s="64">
        <v>0</v>
      </c>
      <c r="Q2453" s="64">
        <v>0</v>
      </c>
      <c r="R2453" s="64">
        <v>515.38</v>
      </c>
      <c r="S2453" t="s">
        <v>155</v>
      </c>
    </row>
    <row r="2454" spans="1:19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96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4">
        <v>240.42</v>
      </c>
      <c r="P2454" s="64">
        <v>0</v>
      </c>
      <c r="Q2454" s="64">
        <v>0</v>
      </c>
      <c r="R2454" s="64">
        <v>240.42</v>
      </c>
      <c r="S2454" t="s">
        <v>155</v>
      </c>
    </row>
    <row r="2455" spans="1:19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96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4">
        <v>99.9</v>
      </c>
      <c r="P2455" s="64">
        <v>0</v>
      </c>
      <c r="Q2455" s="64">
        <v>0</v>
      </c>
      <c r="R2455" s="64">
        <v>99.9</v>
      </c>
      <c r="S2455" t="s">
        <v>155</v>
      </c>
    </row>
    <row r="2456" spans="1:19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96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4">
        <v>179.74</v>
      </c>
      <c r="P2456" s="64">
        <v>0</v>
      </c>
      <c r="Q2456" s="64">
        <v>0</v>
      </c>
      <c r="R2456" s="64">
        <v>179.74</v>
      </c>
      <c r="S2456" t="s">
        <v>155</v>
      </c>
    </row>
    <row r="2457" spans="1:19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96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4">
        <v>706.95</v>
      </c>
      <c r="P2457" s="64">
        <v>0</v>
      </c>
      <c r="Q2457" s="64">
        <v>0</v>
      </c>
      <c r="R2457" s="64">
        <v>706.95</v>
      </c>
      <c r="S2457" t="s">
        <v>155</v>
      </c>
    </row>
    <row r="2458" spans="1:19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96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4">
        <v>100</v>
      </c>
      <c r="P2458" s="64">
        <v>0</v>
      </c>
      <c r="Q2458" s="64">
        <v>0</v>
      </c>
      <c r="R2458" s="64">
        <v>100</v>
      </c>
      <c r="S2458" t="s">
        <v>155</v>
      </c>
    </row>
    <row r="2459" spans="1:19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96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4">
        <v>30</v>
      </c>
      <c r="P2459" s="64">
        <v>0</v>
      </c>
      <c r="Q2459" s="64">
        <v>0</v>
      </c>
      <c r="R2459" s="64">
        <v>30</v>
      </c>
      <c r="S2459" t="s">
        <v>155</v>
      </c>
    </row>
    <row r="2460" spans="1:19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96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4">
        <v>52.77</v>
      </c>
      <c r="P2460" s="64">
        <v>0</v>
      </c>
      <c r="Q2460" s="64">
        <v>0</v>
      </c>
      <c r="R2460" s="64">
        <v>52.77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96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4">
        <v>95.99</v>
      </c>
      <c r="P2461" s="64">
        <v>0</v>
      </c>
      <c r="Q2461" s="64">
        <v>0</v>
      </c>
      <c r="R2461" s="64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96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4">
        <v>50</v>
      </c>
      <c r="P2462" s="64">
        <v>0</v>
      </c>
      <c r="Q2462" s="64">
        <v>0</v>
      </c>
      <c r="R2462" s="64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96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4">
        <v>262.02</v>
      </c>
      <c r="P2463" s="64">
        <v>0</v>
      </c>
      <c r="Q2463" s="64">
        <v>0</v>
      </c>
      <c r="R2463" s="64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96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4">
        <v>7.99</v>
      </c>
      <c r="P2464" s="64">
        <v>0</v>
      </c>
      <c r="Q2464" s="64">
        <v>0</v>
      </c>
      <c r="R2464" s="64">
        <v>7.99</v>
      </c>
      <c r="S2464" t="s">
        <v>155</v>
      </c>
    </row>
    <row r="2465" spans="1:19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96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4">
        <v>85.51</v>
      </c>
      <c r="P2465" s="64">
        <v>0</v>
      </c>
      <c r="Q2465" s="64">
        <v>0</v>
      </c>
      <c r="R2465" s="64">
        <v>85.51</v>
      </c>
      <c r="S2465" t="s">
        <v>155</v>
      </c>
    </row>
    <row r="2466" spans="1:19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96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4">
        <v>42.7</v>
      </c>
      <c r="P2466" s="64">
        <v>0</v>
      </c>
      <c r="Q2466" s="64">
        <v>0</v>
      </c>
      <c r="R2466" s="64">
        <v>42.7</v>
      </c>
      <c r="S2466" t="s">
        <v>155</v>
      </c>
    </row>
    <row r="2467" spans="1:19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96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4">
        <v>391.03</v>
      </c>
      <c r="P2467" s="64">
        <v>0</v>
      </c>
      <c r="Q2467" s="64">
        <v>0</v>
      </c>
      <c r="R2467" s="64">
        <v>391.03</v>
      </c>
      <c r="S2467" t="s">
        <v>155</v>
      </c>
    </row>
    <row r="2468" spans="1:19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96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4">
        <v>271.31</v>
      </c>
      <c r="P2468" s="64">
        <v>0</v>
      </c>
      <c r="Q2468" s="64">
        <v>0</v>
      </c>
      <c r="R2468" s="64">
        <v>271.31</v>
      </c>
      <c r="S2468" t="s">
        <v>155</v>
      </c>
    </row>
    <row r="2469" spans="1:19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96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4">
        <v>50</v>
      </c>
      <c r="P2469" s="64">
        <v>0</v>
      </c>
      <c r="Q2469" s="64">
        <v>0</v>
      </c>
      <c r="R2469" s="64">
        <v>50</v>
      </c>
      <c r="S2469" t="s">
        <v>155</v>
      </c>
    </row>
    <row r="2470" spans="1:19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96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4">
        <v>13.83</v>
      </c>
      <c r="P2470" s="64">
        <v>0</v>
      </c>
      <c r="Q2470" s="64">
        <v>0</v>
      </c>
      <c r="R2470" s="64">
        <v>13.83</v>
      </c>
      <c r="S2470" t="s">
        <v>155</v>
      </c>
    </row>
    <row r="2471" spans="1:19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96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4">
        <v>780.82</v>
      </c>
      <c r="P2471" s="64">
        <v>0</v>
      </c>
      <c r="Q2471" s="64">
        <v>0</v>
      </c>
      <c r="R2471" s="64">
        <v>780.82</v>
      </c>
      <c r="S2471" t="s">
        <v>155</v>
      </c>
    </row>
    <row r="2472" spans="1:19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96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4">
        <v>65</v>
      </c>
      <c r="P2472" s="64">
        <v>0</v>
      </c>
      <c r="Q2472" s="64">
        <v>0</v>
      </c>
      <c r="R2472" s="64">
        <v>65</v>
      </c>
      <c r="S2472" t="s">
        <v>155</v>
      </c>
    </row>
    <row r="2473" spans="1:19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96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4">
        <v>1915.38</v>
      </c>
      <c r="P2473" s="64">
        <v>0</v>
      </c>
      <c r="Q2473" s="64">
        <v>0</v>
      </c>
      <c r="R2473" s="64">
        <v>1915.38</v>
      </c>
      <c r="S2473" t="s">
        <v>155</v>
      </c>
    </row>
    <row r="2474" spans="1:19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96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4">
        <v>253.9</v>
      </c>
      <c r="P2474" s="64">
        <v>0</v>
      </c>
      <c r="Q2474" s="64">
        <v>0</v>
      </c>
      <c r="R2474" s="64">
        <v>253.9</v>
      </c>
      <c r="S2474" t="s">
        <v>155</v>
      </c>
    </row>
    <row r="2475" spans="1:19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96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4">
        <v>104.7</v>
      </c>
      <c r="P2475" s="64">
        <v>0</v>
      </c>
      <c r="Q2475" s="64">
        <v>0</v>
      </c>
      <c r="R2475" s="64">
        <v>104.7</v>
      </c>
      <c r="S2475" t="s">
        <v>155</v>
      </c>
    </row>
    <row r="2476" spans="1:19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96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4">
        <v>50000</v>
      </c>
      <c r="P2476" s="64">
        <v>0</v>
      </c>
      <c r="Q2476" s="64">
        <v>0</v>
      </c>
      <c r="R2476" s="64">
        <v>50000</v>
      </c>
      <c r="S2476" t="s">
        <v>155</v>
      </c>
    </row>
    <row r="2477" spans="1:19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96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4">
        <v>15315.3</v>
      </c>
      <c r="P2477" s="64">
        <v>0</v>
      </c>
      <c r="Q2477" s="64">
        <v>0</v>
      </c>
      <c r="R2477" s="64">
        <v>15315.3</v>
      </c>
      <c r="S2477" t="s">
        <v>155</v>
      </c>
    </row>
    <row r="2478" spans="1:19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96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4">
        <v>15315.31</v>
      </c>
      <c r="P2478" s="64">
        <v>0</v>
      </c>
      <c r="Q2478" s="64">
        <v>0</v>
      </c>
      <c r="R2478" s="64">
        <v>15315.31</v>
      </c>
      <c r="S2478" t="s">
        <v>155</v>
      </c>
    </row>
    <row r="2479" spans="1:19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96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4">
        <v>15315.31</v>
      </c>
      <c r="P2479" s="64">
        <v>0</v>
      </c>
      <c r="Q2479" s="64">
        <v>0</v>
      </c>
      <c r="R2479" s="64">
        <v>15315.31</v>
      </c>
      <c r="S2479" t="s">
        <v>155</v>
      </c>
    </row>
    <row r="2480" spans="1:19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96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4">
        <v>15315.31</v>
      </c>
      <c r="P2480" s="64">
        <v>0</v>
      </c>
      <c r="Q2480" s="64">
        <v>0</v>
      </c>
      <c r="R2480" s="64">
        <v>15315.31</v>
      </c>
      <c r="S2480" t="s">
        <v>155</v>
      </c>
    </row>
    <row r="2481" spans="1:19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96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4">
        <v>35735.72</v>
      </c>
      <c r="P2481" s="64">
        <v>0</v>
      </c>
      <c r="Q2481" s="64">
        <v>0</v>
      </c>
      <c r="R2481" s="64">
        <v>35735.72</v>
      </c>
      <c r="S2481" t="s">
        <v>155</v>
      </c>
    </row>
    <row r="2482" spans="1:19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96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4">
        <v>35735.72</v>
      </c>
      <c r="P2482" s="64">
        <v>0</v>
      </c>
      <c r="Q2482" s="64">
        <v>0</v>
      </c>
      <c r="R2482" s="64">
        <v>35735.72</v>
      </c>
      <c r="S2482" t="s">
        <v>155</v>
      </c>
    </row>
    <row r="2483" spans="1:19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96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4">
        <v>35735.71</v>
      </c>
      <c r="P2483" s="64">
        <v>0</v>
      </c>
      <c r="Q2483" s="64">
        <v>0</v>
      </c>
      <c r="R2483" s="64">
        <v>35735.71</v>
      </c>
      <c r="S2483" t="s">
        <v>155</v>
      </c>
    </row>
    <row r="2484" spans="1:19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96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4">
        <v>35735.71</v>
      </c>
      <c r="P2484" s="64">
        <v>0</v>
      </c>
      <c r="Q2484" s="64">
        <v>0</v>
      </c>
      <c r="R2484" s="64">
        <v>35735.71</v>
      </c>
      <c r="S2484" t="s">
        <v>155</v>
      </c>
    </row>
    <row r="2485" spans="1:19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96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4">
        <v>20.95</v>
      </c>
      <c r="P2485" s="64">
        <v>0</v>
      </c>
      <c r="Q2485" s="64">
        <v>0</v>
      </c>
      <c r="R2485" s="64">
        <v>20.95</v>
      </c>
      <c r="S2485" t="s">
        <v>155</v>
      </c>
    </row>
    <row r="2486" spans="1:19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96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4">
        <v>232.5</v>
      </c>
      <c r="P2486" s="64">
        <v>0</v>
      </c>
      <c r="Q2486" s="64">
        <v>0</v>
      </c>
      <c r="R2486" s="64">
        <v>232.5</v>
      </c>
      <c r="S2486" t="s">
        <v>155</v>
      </c>
    </row>
    <row r="2487" spans="1:19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96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4">
        <v>5.94</v>
      </c>
      <c r="P2487" s="64">
        <v>0</v>
      </c>
      <c r="Q2487" s="64">
        <v>0</v>
      </c>
      <c r="R2487" s="64">
        <v>5.94</v>
      </c>
      <c r="S2487" t="s">
        <v>155</v>
      </c>
    </row>
    <row r="2488" spans="1:19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96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4">
        <v>82</v>
      </c>
      <c r="P2488" s="64">
        <v>0</v>
      </c>
      <c r="Q2488" s="64">
        <v>0</v>
      </c>
      <c r="R2488" s="64">
        <v>82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96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4">
        <v>150000</v>
      </c>
      <c r="P2489" s="64">
        <v>0</v>
      </c>
      <c r="Q2489" s="64">
        <v>0</v>
      </c>
      <c r="R2489" s="64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96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4">
        <v>69656.679999999993</v>
      </c>
      <c r="P2490" s="64">
        <v>0</v>
      </c>
      <c r="Q2490" s="64">
        <v>0</v>
      </c>
      <c r="R2490" s="64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96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4">
        <v>136662.12</v>
      </c>
      <c r="P2491" s="64">
        <v>0</v>
      </c>
      <c r="Q2491" s="64">
        <v>0</v>
      </c>
      <c r="R2491" s="64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96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4">
        <v>2000</v>
      </c>
      <c r="P2492" s="64">
        <v>0</v>
      </c>
      <c r="Q2492" s="64">
        <v>0</v>
      </c>
      <c r="R2492" s="64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96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4">
        <v>29.94</v>
      </c>
      <c r="P2493" s="64">
        <v>0</v>
      </c>
      <c r="Q2493" s="64">
        <v>0</v>
      </c>
      <c r="R2493" s="64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96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4">
        <v>3.54</v>
      </c>
      <c r="P2494" s="64">
        <v>0</v>
      </c>
      <c r="Q2494" s="64">
        <v>0</v>
      </c>
      <c r="R2494" s="64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96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4">
        <v>2.59</v>
      </c>
      <c r="P2495" s="64">
        <v>0</v>
      </c>
      <c r="Q2495" s="64">
        <v>0</v>
      </c>
      <c r="R2495" s="64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96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4">
        <v>3.13</v>
      </c>
      <c r="P2496" s="64">
        <v>0</v>
      </c>
      <c r="Q2496" s="64">
        <v>0</v>
      </c>
      <c r="R2496" s="64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96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4">
        <v>3.13</v>
      </c>
      <c r="P2497" s="64">
        <v>0</v>
      </c>
      <c r="Q2497" s="64">
        <v>0</v>
      </c>
      <c r="R2497" s="64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96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4">
        <v>0.04</v>
      </c>
      <c r="P2498" s="64">
        <v>0</v>
      </c>
      <c r="Q2498" s="64">
        <v>0</v>
      </c>
      <c r="R2498" s="64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96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4">
        <v>242.65</v>
      </c>
      <c r="P2499" s="64">
        <v>0</v>
      </c>
      <c r="Q2499" s="64">
        <v>0</v>
      </c>
      <c r="R2499" s="64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96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4">
        <v>55</v>
      </c>
      <c r="P2500" s="64">
        <v>0</v>
      </c>
      <c r="Q2500" s="64">
        <v>0</v>
      </c>
      <c r="R2500" s="64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96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4">
        <v>136.02000000000001</v>
      </c>
      <c r="P2501" s="64">
        <v>0</v>
      </c>
      <c r="Q2501" s="64">
        <v>0</v>
      </c>
      <c r="R2501" s="64">
        <v>136.02000000000001</v>
      </c>
      <c r="S2501" t="s">
        <v>155</v>
      </c>
    </row>
    <row r="2502" spans="1:19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96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4">
        <v>348.32</v>
      </c>
      <c r="P2502" s="64">
        <v>0</v>
      </c>
      <c r="Q2502" s="64">
        <v>0</v>
      </c>
      <c r="R2502" s="64">
        <v>348.32</v>
      </c>
      <c r="S2502" t="s">
        <v>155</v>
      </c>
    </row>
    <row r="2503" spans="1:19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96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4">
        <v>32.94</v>
      </c>
      <c r="P2503" s="64">
        <v>0</v>
      </c>
      <c r="Q2503" s="64">
        <v>0</v>
      </c>
      <c r="R2503" s="64">
        <v>32.94</v>
      </c>
      <c r="S2503" t="s">
        <v>155</v>
      </c>
    </row>
    <row r="2504" spans="1:19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96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4">
        <v>1000</v>
      </c>
      <c r="P2504" s="64">
        <v>0</v>
      </c>
      <c r="Q2504" s="64">
        <v>0</v>
      </c>
      <c r="R2504" s="64">
        <v>1000</v>
      </c>
      <c r="S2504" t="s">
        <v>155</v>
      </c>
    </row>
    <row r="2505" spans="1:19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96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4">
        <v>100</v>
      </c>
      <c r="P2505" s="64">
        <v>0</v>
      </c>
      <c r="Q2505" s="64">
        <v>0</v>
      </c>
      <c r="R2505" s="64">
        <v>100</v>
      </c>
      <c r="S2505" t="s">
        <v>155</v>
      </c>
    </row>
    <row r="2506" spans="1:19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96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4">
        <v>1670.45</v>
      </c>
      <c r="P2506" s="64">
        <v>0</v>
      </c>
      <c r="Q2506" s="64">
        <v>0</v>
      </c>
      <c r="R2506" s="64">
        <v>1670.45</v>
      </c>
      <c r="S2506" t="s">
        <v>155</v>
      </c>
    </row>
    <row r="2507" spans="1:19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96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4">
        <v>100</v>
      </c>
      <c r="P2507" s="64">
        <v>0</v>
      </c>
      <c r="Q2507" s="64">
        <v>0</v>
      </c>
      <c r="R2507" s="64">
        <v>100</v>
      </c>
      <c r="S2507" t="s">
        <v>155</v>
      </c>
    </row>
    <row r="2508" spans="1:19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96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4">
        <v>1200</v>
      </c>
      <c r="P2508" s="64">
        <v>0</v>
      </c>
      <c r="Q2508" s="64">
        <v>0</v>
      </c>
      <c r="R2508" s="64">
        <v>1200</v>
      </c>
      <c r="S2508" t="s">
        <v>155</v>
      </c>
    </row>
    <row r="2509" spans="1:19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96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4">
        <v>100</v>
      </c>
      <c r="P2509" s="64">
        <v>0</v>
      </c>
      <c r="Q2509" s="64">
        <v>0</v>
      </c>
      <c r="R2509" s="64">
        <v>100</v>
      </c>
      <c r="S2509" t="s">
        <v>155</v>
      </c>
    </row>
    <row r="2510" spans="1:19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96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4">
        <v>50000</v>
      </c>
      <c r="P2510" s="64">
        <v>0</v>
      </c>
      <c r="Q2510" s="64">
        <v>0</v>
      </c>
      <c r="R2510" s="64">
        <v>50000</v>
      </c>
      <c r="S2510" t="s">
        <v>155</v>
      </c>
    </row>
    <row r="2511" spans="1:19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96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4">
        <v>500</v>
      </c>
      <c r="P2511" s="64">
        <v>0</v>
      </c>
      <c r="Q2511" s="64">
        <v>0</v>
      </c>
      <c r="R2511" s="64">
        <v>500</v>
      </c>
      <c r="S2511" t="s">
        <v>155</v>
      </c>
    </row>
    <row r="2512" spans="1:19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96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4">
        <v>319.95999999999998</v>
      </c>
      <c r="P2512" s="64">
        <v>0</v>
      </c>
      <c r="Q2512" s="64">
        <v>0</v>
      </c>
      <c r="R2512" s="64">
        <v>319.95999999999998</v>
      </c>
      <c r="S2512" t="s">
        <v>155</v>
      </c>
    </row>
    <row r="2513" spans="1:19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96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4">
        <v>1929.53</v>
      </c>
      <c r="P2513" s="64">
        <v>0</v>
      </c>
      <c r="Q2513" s="64">
        <v>0</v>
      </c>
      <c r="R2513" s="64">
        <v>1929.53</v>
      </c>
      <c r="S2513" t="s">
        <v>155</v>
      </c>
    </row>
    <row r="2514" spans="1:19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96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4">
        <v>250</v>
      </c>
      <c r="P2514" s="64">
        <v>0</v>
      </c>
      <c r="Q2514" s="64">
        <v>0</v>
      </c>
      <c r="R2514" s="64">
        <v>250</v>
      </c>
      <c r="S2514" t="s">
        <v>155</v>
      </c>
    </row>
    <row r="2515" spans="1:19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96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4">
        <v>250</v>
      </c>
      <c r="P2515" s="64">
        <v>0</v>
      </c>
      <c r="Q2515" s="64">
        <v>0</v>
      </c>
      <c r="R2515" s="64">
        <v>250</v>
      </c>
      <c r="S2515" t="s">
        <v>155</v>
      </c>
    </row>
    <row r="2516" spans="1:19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96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4">
        <v>250</v>
      </c>
      <c r="P2516" s="64">
        <v>0</v>
      </c>
      <c r="Q2516" s="64">
        <v>0</v>
      </c>
      <c r="R2516" s="64">
        <v>250</v>
      </c>
      <c r="S2516" t="s">
        <v>155</v>
      </c>
    </row>
    <row r="2517" spans="1:19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96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4">
        <v>250</v>
      </c>
      <c r="P2517" s="64">
        <v>0</v>
      </c>
      <c r="Q2517" s="64">
        <v>0</v>
      </c>
      <c r="R2517" s="64">
        <v>250</v>
      </c>
      <c r="S2517" t="s">
        <v>155</v>
      </c>
    </row>
    <row r="2518" spans="1:19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96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4">
        <v>1.77</v>
      </c>
      <c r="P2518" s="64">
        <v>0</v>
      </c>
      <c r="Q2518" s="64">
        <v>0</v>
      </c>
      <c r="R2518" s="64">
        <v>1.77</v>
      </c>
      <c r="S2518" t="s">
        <v>155</v>
      </c>
    </row>
    <row r="2519" spans="1:19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96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4">
        <v>250</v>
      </c>
      <c r="P2519" s="64">
        <v>0</v>
      </c>
      <c r="Q2519" s="64">
        <v>0</v>
      </c>
      <c r="R2519" s="64">
        <v>250</v>
      </c>
      <c r="S2519" t="s">
        <v>155</v>
      </c>
    </row>
    <row r="2520" spans="1:19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96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4">
        <v>250</v>
      </c>
      <c r="P2520" s="64">
        <v>0</v>
      </c>
      <c r="Q2520" s="64">
        <v>0</v>
      </c>
      <c r="R2520" s="64">
        <v>250</v>
      </c>
      <c r="S2520" t="s">
        <v>155</v>
      </c>
    </row>
    <row r="2521" spans="1:19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96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4">
        <v>40286.89</v>
      </c>
      <c r="P2521" s="64">
        <v>0</v>
      </c>
      <c r="Q2521" s="64">
        <v>0</v>
      </c>
      <c r="R2521" s="64">
        <v>40286.89</v>
      </c>
      <c r="S2521" t="s">
        <v>155</v>
      </c>
    </row>
    <row r="2522" spans="1:19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96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4">
        <v>3036</v>
      </c>
      <c r="P2522" s="64">
        <v>0</v>
      </c>
      <c r="Q2522" s="64">
        <v>0</v>
      </c>
      <c r="R2522" s="64">
        <v>3036</v>
      </c>
      <c r="S2522" t="s">
        <v>155</v>
      </c>
    </row>
    <row r="2523" spans="1:19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96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4">
        <v>47.5</v>
      </c>
      <c r="P2523" s="64">
        <v>0</v>
      </c>
      <c r="Q2523" s="64">
        <v>0</v>
      </c>
      <c r="R2523" s="64">
        <v>47.5</v>
      </c>
      <c r="S2523" t="s">
        <v>155</v>
      </c>
    </row>
    <row r="2524" spans="1:19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96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4">
        <v>1300</v>
      </c>
      <c r="P2524" s="64">
        <v>0</v>
      </c>
      <c r="Q2524" s="64">
        <v>0</v>
      </c>
      <c r="R2524" s="64">
        <v>1300</v>
      </c>
      <c r="S2524" t="s">
        <v>155</v>
      </c>
    </row>
    <row r="2525" spans="1:19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96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4">
        <v>817.65</v>
      </c>
      <c r="P2525" s="64">
        <v>0</v>
      </c>
      <c r="Q2525" s="64">
        <v>0</v>
      </c>
      <c r="R2525" s="64">
        <v>817.65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96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4">
        <v>2.59</v>
      </c>
      <c r="P2526" s="64">
        <v>0</v>
      </c>
      <c r="Q2526" s="64">
        <v>0</v>
      </c>
      <c r="R2526" s="64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96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4">
        <v>2.59</v>
      </c>
      <c r="P2527" s="64">
        <v>0</v>
      </c>
      <c r="Q2527" s="64">
        <v>0</v>
      </c>
      <c r="R2527" s="64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96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4">
        <v>5.94</v>
      </c>
      <c r="P2528" s="64">
        <v>0</v>
      </c>
      <c r="Q2528" s="64">
        <v>0</v>
      </c>
      <c r="R2528" s="64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96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4">
        <v>3.13</v>
      </c>
      <c r="P2529" s="64">
        <v>0</v>
      </c>
      <c r="Q2529" s="64">
        <v>0</v>
      </c>
      <c r="R2529" s="64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96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4">
        <v>3.13</v>
      </c>
      <c r="P2530" s="64">
        <v>0</v>
      </c>
      <c r="Q2530" s="64">
        <v>0</v>
      </c>
      <c r="R2530" s="64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96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4">
        <v>0.04</v>
      </c>
      <c r="P2531" s="64">
        <v>0</v>
      </c>
      <c r="Q2531" s="64">
        <v>0</v>
      </c>
      <c r="R2531" s="64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96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4">
        <v>3.4</v>
      </c>
      <c r="P2532" s="64">
        <v>0</v>
      </c>
      <c r="Q2532" s="64">
        <v>0</v>
      </c>
      <c r="R2532" s="64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96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4">
        <v>3.4</v>
      </c>
      <c r="P2533" s="64">
        <v>0</v>
      </c>
      <c r="Q2533" s="64">
        <v>0</v>
      </c>
      <c r="R2533" s="64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96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4">
        <v>8.85</v>
      </c>
      <c r="P2534" s="64">
        <v>0</v>
      </c>
      <c r="Q2534" s="64">
        <v>0</v>
      </c>
      <c r="R2534" s="64">
        <v>8.85</v>
      </c>
      <c r="S2534" t="s">
        <v>155</v>
      </c>
    </row>
    <row r="2535" spans="1:19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96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4">
        <v>212.5</v>
      </c>
      <c r="P2535" s="64">
        <v>0</v>
      </c>
      <c r="Q2535" s="64">
        <v>0</v>
      </c>
      <c r="R2535" s="64">
        <v>212.5</v>
      </c>
      <c r="S2535" t="s">
        <v>155</v>
      </c>
    </row>
    <row r="2536" spans="1:19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96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4">
        <v>100</v>
      </c>
      <c r="P2536" s="64">
        <v>0</v>
      </c>
      <c r="Q2536" s="64">
        <v>0</v>
      </c>
      <c r="R2536" s="64">
        <v>100</v>
      </c>
      <c r="S2536" t="s">
        <v>155</v>
      </c>
    </row>
    <row r="2537" spans="1:19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96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4">
        <v>154.16999999999999</v>
      </c>
      <c r="P2537" s="64">
        <v>0</v>
      </c>
      <c r="Q2537" s="64">
        <v>0</v>
      </c>
      <c r="R2537" s="64">
        <v>154.16999999999999</v>
      </c>
      <c r="S2537" t="s">
        <v>155</v>
      </c>
    </row>
    <row r="2538" spans="1:19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96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4">
        <v>349.23</v>
      </c>
      <c r="P2538" s="64">
        <v>0</v>
      </c>
      <c r="Q2538" s="64">
        <v>0</v>
      </c>
      <c r="R2538" s="64">
        <v>349.23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96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4">
        <v>36.9</v>
      </c>
      <c r="P2539" s="64">
        <v>0</v>
      </c>
      <c r="Q2539" s="64">
        <v>0</v>
      </c>
      <c r="R2539" s="64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96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4">
        <v>1.6</v>
      </c>
      <c r="P2540" s="64">
        <v>0</v>
      </c>
      <c r="Q2540" s="64">
        <v>0</v>
      </c>
      <c r="R2540" s="64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96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4">
        <v>5.94</v>
      </c>
      <c r="P2541" s="64">
        <v>0</v>
      </c>
      <c r="Q2541" s="64">
        <v>0</v>
      </c>
      <c r="R2541" s="64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96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4">
        <v>23.8</v>
      </c>
      <c r="P2542" s="64">
        <v>0</v>
      </c>
      <c r="Q2542" s="64">
        <v>0</v>
      </c>
      <c r="R2542" s="64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96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4">
        <v>1.77</v>
      </c>
      <c r="P2543" s="64">
        <v>0</v>
      </c>
      <c r="Q2543" s="64">
        <v>0</v>
      </c>
      <c r="R2543" s="64">
        <v>1.77</v>
      </c>
      <c r="S2543" t="s">
        <v>155</v>
      </c>
    </row>
    <row r="2544" spans="1:19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96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4">
        <v>2100</v>
      </c>
      <c r="P2544" s="64">
        <v>0</v>
      </c>
      <c r="Q2544" s="64">
        <v>0</v>
      </c>
      <c r="R2544" s="64">
        <v>2100</v>
      </c>
      <c r="S2544" t="s">
        <v>155</v>
      </c>
    </row>
    <row r="2545" spans="1:19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96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4">
        <v>230</v>
      </c>
      <c r="P2545" s="64">
        <v>0</v>
      </c>
      <c r="Q2545" s="64">
        <v>0</v>
      </c>
      <c r="R2545" s="64">
        <v>230</v>
      </c>
      <c r="S2545" t="s">
        <v>155</v>
      </c>
    </row>
    <row r="2546" spans="1:19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96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4">
        <v>254.63</v>
      </c>
      <c r="P2546" s="64">
        <v>0</v>
      </c>
      <c r="Q2546" s="64">
        <v>0</v>
      </c>
      <c r="R2546" s="64">
        <v>254.63</v>
      </c>
      <c r="S2546" t="s">
        <v>155</v>
      </c>
    </row>
    <row r="2547" spans="1:19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96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4">
        <v>168.77</v>
      </c>
      <c r="P2547" s="64">
        <v>0</v>
      </c>
      <c r="Q2547" s="64">
        <v>0</v>
      </c>
      <c r="R2547" s="64">
        <v>168.77</v>
      </c>
      <c r="S2547" t="s">
        <v>155</v>
      </c>
    </row>
    <row r="2548" spans="1:19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96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4">
        <v>423.8</v>
      </c>
      <c r="P2548" s="64">
        <v>0</v>
      </c>
      <c r="Q2548" s="64">
        <v>0</v>
      </c>
      <c r="R2548" s="64">
        <v>423.8</v>
      </c>
      <c r="S2548" t="s">
        <v>155</v>
      </c>
    </row>
    <row r="2549" spans="1:19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96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4">
        <v>686</v>
      </c>
      <c r="P2549" s="64">
        <v>0</v>
      </c>
      <c r="Q2549" s="64">
        <v>0</v>
      </c>
      <c r="R2549" s="64">
        <v>686</v>
      </c>
      <c r="S2549" t="s">
        <v>155</v>
      </c>
    </row>
    <row r="2550" spans="1:19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96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4">
        <v>352</v>
      </c>
      <c r="P2550" s="64">
        <v>0</v>
      </c>
      <c r="Q2550" s="64">
        <v>0</v>
      </c>
      <c r="R2550" s="64">
        <v>352</v>
      </c>
      <c r="S2550" t="s">
        <v>155</v>
      </c>
    </row>
    <row r="2551" spans="1:19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96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4">
        <v>975.91</v>
      </c>
      <c r="P2551" s="64">
        <v>0</v>
      </c>
      <c r="Q2551" s="64">
        <v>0</v>
      </c>
      <c r="R2551" s="64">
        <v>975.91</v>
      </c>
      <c r="S2551" t="s">
        <v>155</v>
      </c>
    </row>
    <row r="2552" spans="1:19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96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4">
        <v>2480.92</v>
      </c>
      <c r="P2552" s="64">
        <v>0</v>
      </c>
      <c r="Q2552" s="64">
        <v>0</v>
      </c>
      <c r="R2552" s="64">
        <v>2480.92</v>
      </c>
      <c r="S2552" t="s">
        <v>155</v>
      </c>
    </row>
    <row r="2553" spans="1:19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96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4">
        <v>2500</v>
      </c>
      <c r="P2553" s="64">
        <v>0</v>
      </c>
      <c r="Q2553" s="64">
        <v>0</v>
      </c>
      <c r="R2553" s="64">
        <v>2500</v>
      </c>
      <c r="S2553" t="s">
        <v>155</v>
      </c>
    </row>
    <row r="2554" spans="1:19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96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4">
        <v>18.91</v>
      </c>
      <c r="P2554" s="64">
        <v>0</v>
      </c>
      <c r="Q2554" s="64">
        <v>0</v>
      </c>
      <c r="R2554" s="64">
        <v>18.91</v>
      </c>
      <c r="S2554" t="s">
        <v>155</v>
      </c>
    </row>
    <row r="2555" spans="1:19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96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4">
        <v>2500</v>
      </c>
      <c r="P2555" s="64">
        <v>0</v>
      </c>
      <c r="Q2555" s="64">
        <v>0</v>
      </c>
      <c r="R2555" s="64">
        <v>2500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96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4">
        <v>3.13</v>
      </c>
      <c r="P2556" s="64">
        <v>0</v>
      </c>
      <c r="Q2556" s="64">
        <v>0</v>
      </c>
      <c r="R2556" s="64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96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4">
        <v>6.26</v>
      </c>
      <c r="P2557" s="64">
        <v>0</v>
      </c>
      <c r="Q2557" s="64">
        <v>0</v>
      </c>
      <c r="R2557" s="64">
        <v>6.26</v>
      </c>
      <c r="S2557" t="s">
        <v>155</v>
      </c>
    </row>
    <row r="2558" spans="1:19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96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4">
        <v>1065.9000000000001</v>
      </c>
      <c r="P2558" s="64">
        <v>0</v>
      </c>
      <c r="Q2558" s="64">
        <v>0</v>
      </c>
      <c r="R2558" s="64">
        <v>1065.9000000000001</v>
      </c>
      <c r="S2558" t="s">
        <v>155</v>
      </c>
    </row>
    <row r="2559" spans="1:19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96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4">
        <v>6198.92</v>
      </c>
      <c r="P2559" s="64">
        <v>0</v>
      </c>
      <c r="Q2559" s="64">
        <v>0</v>
      </c>
      <c r="R2559" s="64">
        <v>6198.92</v>
      </c>
      <c r="S2559" t="s">
        <v>155</v>
      </c>
    </row>
    <row r="2560" spans="1:19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96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4">
        <v>2300</v>
      </c>
      <c r="P2560" s="64">
        <v>0</v>
      </c>
      <c r="Q2560" s="64">
        <v>0</v>
      </c>
      <c r="R2560" s="64">
        <v>2300</v>
      </c>
      <c r="S2560" t="s">
        <v>155</v>
      </c>
    </row>
    <row r="2561" spans="1:19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96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4">
        <v>920.45</v>
      </c>
      <c r="P2561" s="64">
        <v>0</v>
      </c>
      <c r="Q2561" s="64">
        <v>0</v>
      </c>
      <c r="R2561" s="64">
        <v>920.45</v>
      </c>
      <c r="S2561" t="s">
        <v>155</v>
      </c>
    </row>
    <row r="2562" spans="1:19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96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4">
        <v>2000</v>
      </c>
      <c r="P2562" s="64">
        <v>0</v>
      </c>
      <c r="Q2562" s="64">
        <v>0</v>
      </c>
      <c r="R2562" s="64">
        <v>2000</v>
      </c>
      <c r="S2562" t="s">
        <v>155</v>
      </c>
    </row>
    <row r="2563" spans="1:19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96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4">
        <v>2000</v>
      </c>
      <c r="P2563" s="64">
        <v>0</v>
      </c>
      <c r="Q2563" s="64">
        <v>0</v>
      </c>
      <c r="R2563" s="64">
        <v>2000</v>
      </c>
      <c r="S2563" t="s">
        <v>155</v>
      </c>
    </row>
    <row r="2564" spans="1:19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96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4">
        <v>1700</v>
      </c>
      <c r="P2564" s="64">
        <v>0</v>
      </c>
      <c r="Q2564" s="64">
        <v>0</v>
      </c>
      <c r="R2564" s="64">
        <v>1700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96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4">
        <v>1.6</v>
      </c>
      <c r="P2565" s="64">
        <v>0</v>
      </c>
      <c r="Q2565" s="64">
        <v>0</v>
      </c>
      <c r="R2565" s="64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96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4">
        <v>14.16</v>
      </c>
      <c r="P2566" s="64">
        <v>0</v>
      </c>
      <c r="Q2566" s="64">
        <v>0</v>
      </c>
      <c r="R2566" s="64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96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4">
        <v>28.69</v>
      </c>
      <c r="P2567" s="64">
        <v>0</v>
      </c>
      <c r="Q2567" s="64">
        <v>0</v>
      </c>
      <c r="R2567" s="64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96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4">
        <v>900</v>
      </c>
      <c r="P2568" s="64">
        <v>0</v>
      </c>
      <c r="Q2568" s="64">
        <v>0</v>
      </c>
      <c r="R2568" s="64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96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4">
        <v>0.04</v>
      </c>
      <c r="P2569" s="64">
        <v>0</v>
      </c>
      <c r="Q2569" s="64">
        <v>0</v>
      </c>
      <c r="R2569" s="64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96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4">
        <v>3.4</v>
      </c>
      <c r="P2570" s="64">
        <v>0</v>
      </c>
      <c r="Q2570" s="64">
        <v>0</v>
      </c>
      <c r="R2570" s="64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96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4">
        <v>56948.89</v>
      </c>
      <c r="P2571" s="64">
        <v>0</v>
      </c>
      <c r="Q2571" s="64">
        <v>0</v>
      </c>
      <c r="R2571" s="64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96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4">
        <v>1000</v>
      </c>
      <c r="P2572" s="64">
        <v>0</v>
      </c>
      <c r="Q2572" s="64">
        <v>0</v>
      </c>
      <c r="R2572" s="64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96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4">
        <v>50</v>
      </c>
      <c r="P2573" s="64">
        <v>0</v>
      </c>
      <c r="Q2573" s="64">
        <v>0</v>
      </c>
      <c r="R2573" s="64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96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4">
        <v>250</v>
      </c>
      <c r="P2574" s="64">
        <v>0</v>
      </c>
      <c r="Q2574" s="64">
        <v>0</v>
      </c>
      <c r="R2574" s="64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96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4">
        <v>20</v>
      </c>
      <c r="P2575" s="64">
        <v>0</v>
      </c>
      <c r="Q2575" s="64">
        <v>0</v>
      </c>
      <c r="R2575" s="64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96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4">
        <v>20</v>
      </c>
      <c r="P2576" s="64">
        <v>0</v>
      </c>
      <c r="Q2576" s="64">
        <v>0</v>
      </c>
      <c r="R2576" s="64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96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4">
        <v>150</v>
      </c>
      <c r="P2577" s="64">
        <v>0</v>
      </c>
      <c r="Q2577" s="64">
        <v>0</v>
      </c>
      <c r="R2577" s="64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96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4">
        <v>53.98</v>
      </c>
      <c r="P2578" s="64">
        <v>0</v>
      </c>
      <c r="Q2578" s="64">
        <v>0</v>
      </c>
      <c r="R2578" s="64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96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4">
        <v>47.14</v>
      </c>
      <c r="P2579" s="64">
        <v>0</v>
      </c>
      <c r="Q2579" s="64">
        <v>0</v>
      </c>
      <c r="R2579" s="64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96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4">
        <v>15559.95</v>
      </c>
      <c r="P2580" s="64">
        <v>0</v>
      </c>
      <c r="Q2580" s="64">
        <v>0</v>
      </c>
      <c r="R2580" s="64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96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4">
        <v>23.14</v>
      </c>
      <c r="P2581" s="64">
        <v>0</v>
      </c>
      <c r="Q2581" s="64">
        <v>0</v>
      </c>
      <c r="R2581" s="64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96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4">
        <v>42.93</v>
      </c>
      <c r="P2582" s="64">
        <v>0</v>
      </c>
      <c r="Q2582" s="64">
        <v>0</v>
      </c>
      <c r="R2582" s="64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96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4">
        <v>1.77</v>
      </c>
      <c r="P2583" s="64">
        <v>0</v>
      </c>
      <c r="Q2583" s="64">
        <v>0</v>
      </c>
      <c r="R2583" s="64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96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4">
        <v>20.399999999999999</v>
      </c>
      <c r="P2584" s="64">
        <v>0</v>
      </c>
      <c r="Q2584" s="64">
        <v>0</v>
      </c>
      <c r="R2584" s="64">
        <v>20.399999999999999</v>
      </c>
      <c r="S2584" t="s">
        <v>155</v>
      </c>
    </row>
    <row r="2585" spans="1:19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96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4">
        <v>2965</v>
      </c>
      <c r="P2585" s="64">
        <v>0</v>
      </c>
      <c r="Q2585" s="64">
        <v>0</v>
      </c>
      <c r="R2585" s="64">
        <v>2965</v>
      </c>
      <c r="S2585" t="s">
        <v>155</v>
      </c>
    </row>
    <row r="2586" spans="1:19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96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4">
        <v>2500</v>
      </c>
      <c r="P2586" s="64">
        <v>0</v>
      </c>
      <c r="Q2586" s="64">
        <v>0</v>
      </c>
      <c r="R2586" s="64">
        <v>2500</v>
      </c>
      <c r="S2586" t="s">
        <v>155</v>
      </c>
    </row>
    <row r="2587" spans="1:19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96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4">
        <v>284.70999999999998</v>
      </c>
      <c r="P2587" s="64">
        <v>0</v>
      </c>
      <c r="Q2587" s="64">
        <v>0</v>
      </c>
      <c r="R2587" s="64">
        <v>284.70999999999998</v>
      </c>
      <c r="S2587" t="s">
        <v>155</v>
      </c>
    </row>
    <row r="2588" spans="1:19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96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4">
        <v>2192.14</v>
      </c>
      <c r="P2588" s="64">
        <v>0</v>
      </c>
      <c r="Q2588" s="64">
        <v>0</v>
      </c>
      <c r="R2588" s="64">
        <v>2192.14</v>
      </c>
      <c r="S2588" t="s">
        <v>155</v>
      </c>
    </row>
    <row r="2589" spans="1:19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96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4">
        <v>12.52</v>
      </c>
      <c r="P2589" s="64">
        <v>0</v>
      </c>
      <c r="Q2589" s="64">
        <v>0</v>
      </c>
      <c r="R2589" s="64">
        <v>12.52</v>
      </c>
      <c r="S2589" t="s">
        <v>155</v>
      </c>
    </row>
    <row r="2590" spans="1:19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96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4">
        <v>10000</v>
      </c>
      <c r="P2590" s="64">
        <v>0</v>
      </c>
      <c r="Q2590" s="64">
        <v>0</v>
      </c>
      <c r="R2590" s="64">
        <v>10000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96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4">
        <v>300</v>
      </c>
      <c r="P2591" s="64">
        <v>0</v>
      </c>
      <c r="Q2591" s="64">
        <v>0</v>
      </c>
      <c r="R2591" s="64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96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4">
        <v>7.08</v>
      </c>
      <c r="P2592" s="64">
        <v>0</v>
      </c>
      <c r="Q2592" s="64">
        <v>0</v>
      </c>
      <c r="R2592" s="64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96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4">
        <v>7.77</v>
      </c>
      <c r="P2593" s="64">
        <v>0</v>
      </c>
      <c r="Q2593" s="64">
        <v>0</v>
      </c>
      <c r="R2593" s="64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96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4">
        <v>0.04</v>
      </c>
      <c r="P2594" s="64">
        <v>0</v>
      </c>
      <c r="Q2594" s="64">
        <v>0</v>
      </c>
      <c r="R2594" s="64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96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4">
        <v>17</v>
      </c>
      <c r="P2595" s="64">
        <v>0</v>
      </c>
      <c r="Q2595" s="64">
        <v>0</v>
      </c>
      <c r="R2595" s="64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96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4">
        <v>1.6</v>
      </c>
      <c r="P2596" s="64">
        <v>0</v>
      </c>
      <c r="Q2596" s="64">
        <v>0</v>
      </c>
      <c r="R2596" s="64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96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4">
        <v>17.82</v>
      </c>
      <c r="P2597" s="64">
        <v>0</v>
      </c>
      <c r="Q2597" s="64">
        <v>0</v>
      </c>
      <c r="R2597" s="64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96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4">
        <v>1.77</v>
      </c>
      <c r="P2598" s="64">
        <v>0</v>
      </c>
      <c r="Q2598" s="64">
        <v>0</v>
      </c>
      <c r="R2598" s="64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96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4">
        <v>3.13</v>
      </c>
      <c r="P2599" s="64">
        <v>0</v>
      </c>
      <c r="Q2599" s="64">
        <v>0</v>
      </c>
      <c r="R2599" s="64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96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4">
        <v>100</v>
      </c>
      <c r="P2600" s="64">
        <v>0</v>
      </c>
      <c r="Q2600" s="64">
        <v>0</v>
      </c>
      <c r="R2600" s="64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96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4">
        <v>114.78</v>
      </c>
      <c r="P2601" s="64">
        <v>0</v>
      </c>
      <c r="Q2601" s="64">
        <v>0</v>
      </c>
      <c r="R2601" s="64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96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4">
        <v>3.13</v>
      </c>
      <c r="P2602" s="64">
        <v>0</v>
      </c>
      <c r="Q2602" s="64">
        <v>0</v>
      </c>
      <c r="R2602" s="64">
        <v>3.13</v>
      </c>
      <c r="S2602" t="s">
        <v>155</v>
      </c>
    </row>
    <row r="2603" spans="1:19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96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4">
        <v>270</v>
      </c>
      <c r="P2603" s="64">
        <v>0</v>
      </c>
      <c r="Q2603" s="64">
        <v>0</v>
      </c>
      <c r="R2603" s="64">
        <v>270</v>
      </c>
      <c r="S2603" t="s">
        <v>155</v>
      </c>
    </row>
    <row r="2604" spans="1:19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96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4">
        <v>100000</v>
      </c>
      <c r="P2604" s="64">
        <v>0</v>
      </c>
      <c r="Q2604" s="64">
        <v>0</v>
      </c>
      <c r="R2604" s="64">
        <v>100000</v>
      </c>
      <c r="S2604" t="s">
        <v>155</v>
      </c>
    </row>
    <row r="2605" spans="1:19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96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4">
        <v>23.07</v>
      </c>
      <c r="P2605" s="64">
        <v>0</v>
      </c>
      <c r="Q2605" s="64">
        <v>0</v>
      </c>
      <c r="R2605" s="64">
        <v>23.07</v>
      </c>
      <c r="S2605" t="s">
        <v>155</v>
      </c>
    </row>
    <row r="2606" spans="1:19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96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4">
        <v>3250</v>
      </c>
      <c r="P2606" s="64">
        <v>0</v>
      </c>
      <c r="Q2606" s="64">
        <v>0</v>
      </c>
      <c r="R2606" s="64">
        <v>3250</v>
      </c>
      <c r="S2606" t="s">
        <v>155</v>
      </c>
    </row>
    <row r="2607" spans="1:19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96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4">
        <v>100</v>
      </c>
      <c r="P2607" s="64">
        <v>0</v>
      </c>
      <c r="Q2607" s="64">
        <v>0</v>
      </c>
      <c r="R2607" s="64">
        <v>100</v>
      </c>
      <c r="S2607" t="s">
        <v>155</v>
      </c>
    </row>
    <row r="2608" spans="1:19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96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4">
        <v>32</v>
      </c>
      <c r="P2608" s="64">
        <v>0</v>
      </c>
      <c r="Q2608" s="64">
        <v>0</v>
      </c>
      <c r="R2608" s="64">
        <v>32</v>
      </c>
      <c r="S2608" t="s">
        <v>155</v>
      </c>
    </row>
    <row r="2609" spans="1:19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96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4">
        <v>10000</v>
      </c>
      <c r="P2609" s="64">
        <v>0</v>
      </c>
      <c r="Q2609" s="64">
        <v>0</v>
      </c>
      <c r="R2609" s="64">
        <v>10000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96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4">
        <v>250</v>
      </c>
      <c r="P2610" s="64">
        <v>0</v>
      </c>
      <c r="Q2610" s="64">
        <v>0</v>
      </c>
      <c r="R2610" s="64">
        <v>250</v>
      </c>
      <c r="S2610" t="s">
        <v>155</v>
      </c>
    </row>
    <row r="2611" spans="1:19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96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4">
        <v>16536.61</v>
      </c>
      <c r="P2611" s="64">
        <v>0</v>
      </c>
      <c r="Q2611" s="64">
        <v>0</v>
      </c>
      <c r="R2611" s="64">
        <v>16536.61</v>
      </c>
      <c r="S2611" t="s">
        <v>155</v>
      </c>
    </row>
    <row r="2612" spans="1:19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96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4">
        <v>500</v>
      </c>
      <c r="P2612" s="64">
        <v>0</v>
      </c>
      <c r="Q2612" s="64">
        <v>0</v>
      </c>
      <c r="R2612" s="64">
        <v>500</v>
      </c>
      <c r="S2612" t="s">
        <v>155</v>
      </c>
    </row>
    <row r="2613" spans="1:19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96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4">
        <v>250</v>
      </c>
      <c r="P2613" s="64">
        <v>0</v>
      </c>
      <c r="Q2613" s="64">
        <v>0</v>
      </c>
      <c r="R2613" s="64">
        <v>250</v>
      </c>
      <c r="S2613" t="s">
        <v>155</v>
      </c>
    </row>
    <row r="2614" spans="1:19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96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4">
        <v>1.6</v>
      </c>
      <c r="P2614" s="64">
        <v>0</v>
      </c>
      <c r="Q2614" s="64">
        <v>0</v>
      </c>
      <c r="R2614" s="64">
        <v>1.6</v>
      </c>
      <c r="S2614" t="s">
        <v>155</v>
      </c>
    </row>
    <row r="2615" spans="1:19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96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4">
        <v>7.08</v>
      </c>
      <c r="P2615" s="64">
        <v>0</v>
      </c>
      <c r="Q2615" s="64">
        <v>0</v>
      </c>
      <c r="R2615" s="64">
        <v>7.08</v>
      </c>
      <c r="S2615" t="s">
        <v>155</v>
      </c>
    </row>
    <row r="2616" spans="1:19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96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4">
        <v>23347.5</v>
      </c>
      <c r="P2616" s="64">
        <v>0</v>
      </c>
      <c r="Q2616" s="64">
        <v>0</v>
      </c>
      <c r="R2616" s="64">
        <v>23347.5</v>
      </c>
      <c r="S2616" t="s">
        <v>155</v>
      </c>
    </row>
    <row r="2617" spans="1:19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96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4">
        <v>18.78</v>
      </c>
      <c r="P2617" s="64">
        <v>0</v>
      </c>
      <c r="Q2617" s="64">
        <v>0</v>
      </c>
      <c r="R2617" s="64">
        <v>18.78</v>
      </c>
      <c r="S2617" t="s">
        <v>155</v>
      </c>
    </row>
    <row r="2618" spans="1:19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96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4">
        <v>561.20000000000005</v>
      </c>
      <c r="P2618" s="64">
        <v>0</v>
      </c>
      <c r="Q2618" s="64">
        <v>0</v>
      </c>
      <c r="R2618" s="64">
        <v>561.20000000000005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96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4">
        <v>5.94</v>
      </c>
      <c r="P2619" s="64">
        <v>0</v>
      </c>
      <c r="Q2619" s="64">
        <v>0</v>
      </c>
      <c r="R2619" s="64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96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4">
        <v>13.6</v>
      </c>
      <c r="P2620" s="64">
        <v>0</v>
      </c>
      <c r="Q2620" s="64">
        <v>0</v>
      </c>
      <c r="R2620" s="64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96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4">
        <v>1.77</v>
      </c>
      <c r="P2621" s="64">
        <v>0</v>
      </c>
      <c r="Q2621" s="64">
        <v>0</v>
      </c>
      <c r="R2621" s="64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96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4">
        <v>50</v>
      </c>
      <c r="P2622" s="64">
        <v>0</v>
      </c>
      <c r="Q2622" s="64">
        <v>0</v>
      </c>
      <c r="R2622" s="64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96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4">
        <v>10880</v>
      </c>
      <c r="P2623" s="64">
        <v>0</v>
      </c>
      <c r="Q2623" s="64">
        <v>0</v>
      </c>
      <c r="R2623" s="64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96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4">
        <v>2100</v>
      </c>
      <c r="P2624" s="64">
        <v>0</v>
      </c>
      <c r="Q2624" s="64">
        <v>0</v>
      </c>
      <c r="R2624" s="64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96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4">
        <v>2800</v>
      </c>
      <c r="P2625" s="64">
        <v>0</v>
      </c>
      <c r="Q2625" s="64">
        <v>0</v>
      </c>
      <c r="R2625" s="64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96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4">
        <v>2800</v>
      </c>
      <c r="P2626" s="64">
        <v>0</v>
      </c>
      <c r="Q2626" s="64">
        <v>0</v>
      </c>
      <c r="R2626" s="64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96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4">
        <v>3200</v>
      </c>
      <c r="P2627" s="64">
        <v>0</v>
      </c>
      <c r="Q2627" s="64">
        <v>0</v>
      </c>
      <c r="R2627" s="64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96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4">
        <v>2300</v>
      </c>
      <c r="P2628" s="64">
        <v>0</v>
      </c>
      <c r="Q2628" s="64">
        <v>0</v>
      </c>
      <c r="R2628" s="64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96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4">
        <v>500</v>
      </c>
      <c r="P2629" s="64">
        <v>0</v>
      </c>
      <c r="Q2629" s="64">
        <v>0</v>
      </c>
      <c r="R2629" s="64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96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4">
        <v>1700</v>
      </c>
      <c r="P2630" s="64">
        <v>0</v>
      </c>
      <c r="Q2630" s="64">
        <v>0</v>
      </c>
      <c r="R2630" s="64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96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4">
        <v>595</v>
      </c>
      <c r="P2631" s="64">
        <v>0</v>
      </c>
      <c r="Q2631" s="64">
        <v>0</v>
      </c>
      <c r="R2631" s="64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96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4">
        <v>300</v>
      </c>
      <c r="P2632" s="64">
        <v>0</v>
      </c>
      <c r="Q2632" s="64">
        <v>0</v>
      </c>
      <c r="R2632" s="64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96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4">
        <v>94.99</v>
      </c>
      <c r="P2633" s="64">
        <v>0</v>
      </c>
      <c r="Q2633" s="64">
        <v>0</v>
      </c>
      <c r="R2633" s="64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96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4">
        <v>20</v>
      </c>
      <c r="P2634" s="64">
        <v>0</v>
      </c>
      <c r="Q2634" s="64">
        <v>0</v>
      </c>
      <c r="R2634" s="64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96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4">
        <v>139.12</v>
      </c>
      <c r="P2635" s="64">
        <v>0</v>
      </c>
      <c r="Q2635" s="64">
        <v>0</v>
      </c>
      <c r="R2635" s="64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96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4">
        <v>1.77</v>
      </c>
      <c r="P2636" s="64">
        <v>0</v>
      </c>
      <c r="Q2636" s="64">
        <v>0</v>
      </c>
      <c r="R2636" s="64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96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4">
        <v>5.94</v>
      </c>
      <c r="P2637" s="64">
        <v>0</v>
      </c>
      <c r="Q2637" s="64">
        <v>0</v>
      </c>
      <c r="R2637" s="64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96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4">
        <v>9.39</v>
      </c>
      <c r="P2638" s="64">
        <v>0</v>
      </c>
      <c r="Q2638" s="64">
        <v>0</v>
      </c>
      <c r="R2638" s="64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96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4">
        <v>20</v>
      </c>
      <c r="P2639" s="64">
        <v>0</v>
      </c>
      <c r="Q2639" s="64">
        <v>0</v>
      </c>
      <c r="R2639" s="64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96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4">
        <v>360</v>
      </c>
      <c r="P2640" s="64">
        <v>0</v>
      </c>
      <c r="Q2640" s="64">
        <v>0</v>
      </c>
      <c r="R2640" s="64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96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4">
        <v>16.96</v>
      </c>
      <c r="P2641" s="64">
        <v>0</v>
      </c>
      <c r="Q2641" s="64">
        <v>0</v>
      </c>
      <c r="R2641" s="64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96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4">
        <v>16.96</v>
      </c>
      <c r="P2642" s="64">
        <v>0</v>
      </c>
      <c r="Q2642" s="64">
        <v>0</v>
      </c>
      <c r="R2642" s="64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96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4">
        <v>33.799999999999997</v>
      </c>
      <c r="P2643" s="64">
        <v>0</v>
      </c>
      <c r="Q2643" s="64">
        <v>0</v>
      </c>
      <c r="R2643" s="64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96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4">
        <v>100</v>
      </c>
      <c r="P2644" s="64">
        <v>0</v>
      </c>
      <c r="Q2644" s="64">
        <v>0</v>
      </c>
      <c r="R2644" s="64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96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4">
        <v>16</v>
      </c>
      <c r="P2645" s="64">
        <v>0</v>
      </c>
      <c r="Q2645" s="64">
        <v>0</v>
      </c>
      <c r="R2645" s="64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96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4">
        <v>18.78</v>
      </c>
      <c r="P2646" s="64">
        <v>0</v>
      </c>
      <c r="Q2646" s="64">
        <v>0</v>
      </c>
      <c r="R2646" s="64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96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4">
        <v>1400</v>
      </c>
      <c r="P2647" s="64">
        <v>0</v>
      </c>
      <c r="Q2647" s="64">
        <v>0</v>
      </c>
      <c r="R2647" s="64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96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4">
        <v>20</v>
      </c>
      <c r="P2648" s="64">
        <v>0</v>
      </c>
      <c r="Q2648" s="64">
        <v>0</v>
      </c>
      <c r="R2648" s="64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96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4">
        <v>100075.47</v>
      </c>
      <c r="P2649" s="64">
        <v>0</v>
      </c>
      <c r="Q2649" s="64">
        <v>0</v>
      </c>
      <c r="R2649" s="64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96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4">
        <v>200000</v>
      </c>
      <c r="P2650" s="64">
        <v>0</v>
      </c>
      <c r="Q2650" s="64">
        <v>0</v>
      </c>
      <c r="R2650" s="64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96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4">
        <v>26590.080000000002</v>
      </c>
      <c r="P2651" s="64">
        <v>0</v>
      </c>
      <c r="Q2651" s="64">
        <v>0</v>
      </c>
      <c r="R2651" s="64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5373</v>
      </c>
      <c r="F2652" t="s">
        <v>121</v>
      </c>
      <c r="G2652" t="s">
        <v>149</v>
      </c>
      <c r="H2652" t="s">
        <v>150</v>
      </c>
      <c r="I2652" t="s">
        <v>151</v>
      </c>
      <c r="J2652" s="96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4">
        <v>14500</v>
      </c>
      <c r="P2652" s="64">
        <v>0</v>
      </c>
      <c r="Q2652" s="64">
        <v>0</v>
      </c>
      <c r="R2652" s="64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96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4">
        <v>749</v>
      </c>
      <c r="P2653" s="64">
        <v>0</v>
      </c>
      <c r="Q2653" s="64">
        <v>0</v>
      </c>
      <c r="R2653" s="64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96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4">
        <v>300</v>
      </c>
      <c r="P2654" s="64">
        <v>0</v>
      </c>
      <c r="Q2654" s="64">
        <v>0</v>
      </c>
      <c r="R2654" s="64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96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4">
        <v>25.95</v>
      </c>
      <c r="P2655" s="64">
        <v>0</v>
      </c>
      <c r="Q2655" s="64">
        <v>0</v>
      </c>
      <c r="R2655" s="64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96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4">
        <v>796.25</v>
      </c>
      <c r="P2656" s="64">
        <v>0</v>
      </c>
      <c r="Q2656" s="64">
        <v>0</v>
      </c>
      <c r="R2656" s="64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96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4">
        <v>723.16</v>
      </c>
      <c r="P2657" s="64">
        <v>0</v>
      </c>
      <c r="Q2657" s="64">
        <v>0</v>
      </c>
      <c r="R2657" s="64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96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4">
        <v>1.77</v>
      </c>
      <c r="P2658" s="64">
        <v>0</v>
      </c>
      <c r="Q2658" s="64">
        <v>0</v>
      </c>
      <c r="R2658" s="64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96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4">
        <v>2400</v>
      </c>
      <c r="P2659" s="64">
        <v>0</v>
      </c>
      <c r="Q2659" s="64">
        <v>0</v>
      </c>
      <c r="R2659" s="64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96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4">
        <v>100</v>
      </c>
      <c r="P2660" s="64">
        <v>0</v>
      </c>
      <c r="Q2660" s="64">
        <v>0</v>
      </c>
      <c r="R2660" s="64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96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4">
        <v>50</v>
      </c>
      <c r="P2661" s="64">
        <v>0</v>
      </c>
      <c r="Q2661" s="64">
        <v>0</v>
      </c>
      <c r="R2661" s="64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96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4">
        <v>53500</v>
      </c>
      <c r="P2662" s="64">
        <v>0</v>
      </c>
      <c r="Q2662" s="64">
        <v>0</v>
      </c>
      <c r="R2662" s="64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96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4">
        <v>37450</v>
      </c>
      <c r="P2663" s="64">
        <v>0</v>
      </c>
      <c r="Q2663" s="64">
        <v>0</v>
      </c>
      <c r="R2663" s="64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96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4">
        <v>45511</v>
      </c>
      <c r="P2664" s="64">
        <v>0</v>
      </c>
      <c r="Q2664" s="64">
        <v>0</v>
      </c>
      <c r="R2664" s="64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96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4">
        <v>34444.199999999997</v>
      </c>
      <c r="P2665" s="64">
        <v>0</v>
      </c>
      <c r="Q2665" s="64">
        <v>0</v>
      </c>
      <c r="R2665" s="64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96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4">
        <v>11.88</v>
      </c>
      <c r="P2666" s="64">
        <v>0</v>
      </c>
      <c r="Q2666" s="64">
        <v>0</v>
      </c>
      <c r="R2666" s="64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96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4">
        <v>3.13</v>
      </c>
      <c r="P2667" s="64">
        <v>0</v>
      </c>
      <c r="Q2667" s="64">
        <v>0</v>
      </c>
      <c r="R2667" s="64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96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4">
        <v>0.04</v>
      </c>
      <c r="P2668" s="64">
        <v>0</v>
      </c>
      <c r="Q2668" s="64">
        <v>0</v>
      </c>
      <c r="R2668" s="64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96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4">
        <v>304.89</v>
      </c>
      <c r="P2669" s="64">
        <v>0</v>
      </c>
      <c r="Q2669" s="64">
        <v>0</v>
      </c>
      <c r="R2669" s="64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96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4">
        <v>214.86</v>
      </c>
      <c r="P2670" s="64">
        <v>0</v>
      </c>
      <c r="Q2670" s="64">
        <v>0</v>
      </c>
      <c r="R2670" s="64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96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4">
        <v>136.16999999999999</v>
      </c>
      <c r="P2671" s="64">
        <v>0</v>
      </c>
      <c r="Q2671" s="64">
        <v>0</v>
      </c>
      <c r="R2671" s="64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96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4">
        <v>4496.8599999999997</v>
      </c>
      <c r="P2672" s="64">
        <v>0</v>
      </c>
      <c r="Q2672" s="64">
        <v>0</v>
      </c>
      <c r="R2672" s="64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96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4">
        <v>795</v>
      </c>
      <c r="P2673" s="64">
        <v>0</v>
      </c>
      <c r="Q2673" s="64">
        <v>0</v>
      </c>
      <c r="R2673" s="64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96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4">
        <v>250</v>
      </c>
      <c r="P2674" s="64">
        <v>0</v>
      </c>
      <c r="Q2674" s="64">
        <v>0</v>
      </c>
      <c r="R2674" s="64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96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4">
        <v>20477.98</v>
      </c>
      <c r="P2675" s="64">
        <v>0</v>
      </c>
      <c r="Q2675" s="64">
        <v>0</v>
      </c>
      <c r="R2675" s="64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96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4">
        <v>250</v>
      </c>
      <c r="P2676" s="64">
        <v>0</v>
      </c>
      <c r="Q2676" s="64">
        <v>0</v>
      </c>
      <c r="R2676" s="64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96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4">
        <v>15.93</v>
      </c>
      <c r="P2677" s="64">
        <v>0</v>
      </c>
      <c r="Q2677" s="64">
        <v>0</v>
      </c>
      <c r="R2677" s="64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96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4">
        <v>96.97</v>
      </c>
      <c r="P2678" s="64">
        <v>0</v>
      </c>
      <c r="Q2678" s="64">
        <v>0</v>
      </c>
      <c r="R2678" s="64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96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4">
        <v>19</v>
      </c>
      <c r="P2679" s="64">
        <v>0</v>
      </c>
      <c r="Q2679" s="64">
        <v>0</v>
      </c>
      <c r="R2679" s="64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96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4">
        <v>2.59</v>
      </c>
      <c r="P2680" s="64">
        <v>0</v>
      </c>
      <c r="Q2680" s="64">
        <v>0</v>
      </c>
      <c r="R2680" s="64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96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4">
        <v>6.8</v>
      </c>
      <c r="P2681" s="64">
        <v>0</v>
      </c>
      <c r="Q2681" s="64">
        <v>0</v>
      </c>
      <c r="R2681" s="64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96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4">
        <v>234</v>
      </c>
      <c r="P2682" s="64">
        <v>0</v>
      </c>
      <c r="Q2682" s="64">
        <v>0</v>
      </c>
      <c r="R2682" s="64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96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4">
        <v>20</v>
      </c>
      <c r="P2683" s="64">
        <v>0</v>
      </c>
      <c r="Q2683" s="64">
        <v>0</v>
      </c>
      <c r="R2683" s="64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96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4">
        <v>45.68</v>
      </c>
      <c r="P2684" s="64">
        <v>0</v>
      </c>
      <c r="Q2684" s="64">
        <v>0</v>
      </c>
      <c r="R2684" s="64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96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4">
        <v>178</v>
      </c>
      <c r="P2685" s="64">
        <v>0</v>
      </c>
      <c r="Q2685" s="64">
        <v>0</v>
      </c>
      <c r="R2685" s="64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96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4">
        <v>200</v>
      </c>
      <c r="P2686" s="64">
        <v>0</v>
      </c>
      <c r="Q2686" s="64">
        <v>0</v>
      </c>
      <c r="R2686" s="64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96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4">
        <v>5.31</v>
      </c>
      <c r="P2687" s="64">
        <v>0</v>
      </c>
      <c r="Q2687" s="64">
        <v>0</v>
      </c>
      <c r="R2687" s="64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96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4">
        <v>127250</v>
      </c>
      <c r="P2688" s="64">
        <v>0</v>
      </c>
      <c r="Q2688" s="64">
        <v>0</v>
      </c>
      <c r="R2688" s="64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96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4">
        <v>63391.5</v>
      </c>
      <c r="P2689" s="64">
        <v>0</v>
      </c>
      <c r="Q2689" s="64">
        <v>0</v>
      </c>
      <c r="R2689" s="64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96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4">
        <v>16.920000000000002</v>
      </c>
      <c r="P2690" s="64">
        <v>0</v>
      </c>
      <c r="Q2690" s="64">
        <v>0</v>
      </c>
      <c r="R2690" s="64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96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4">
        <v>5.94</v>
      </c>
      <c r="P2691" s="64">
        <v>0</v>
      </c>
      <c r="Q2691" s="64">
        <v>0</v>
      </c>
      <c r="R2691" s="64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96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4">
        <v>3.4</v>
      </c>
      <c r="P2692" s="64">
        <v>0</v>
      </c>
      <c r="Q2692" s="64">
        <v>0</v>
      </c>
      <c r="R2692" s="64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96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4">
        <v>12</v>
      </c>
      <c r="P2693" s="64">
        <v>0</v>
      </c>
      <c r="Q2693" s="64">
        <v>0</v>
      </c>
      <c r="R2693" s="64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96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4">
        <v>561.20000000000005</v>
      </c>
      <c r="P2694" s="64">
        <v>0</v>
      </c>
      <c r="Q2694" s="64">
        <v>0</v>
      </c>
      <c r="R2694" s="64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96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4">
        <v>500</v>
      </c>
      <c r="P2695" s="64">
        <v>0</v>
      </c>
      <c r="Q2695" s="64">
        <v>0</v>
      </c>
      <c r="R2695" s="64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96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4">
        <v>369.02</v>
      </c>
      <c r="P2696" s="64">
        <v>0</v>
      </c>
      <c r="Q2696" s="64">
        <v>0</v>
      </c>
      <c r="R2696" s="64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96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4">
        <v>354.08</v>
      </c>
      <c r="P2697" s="64">
        <v>0</v>
      </c>
      <c r="Q2697" s="64">
        <v>0</v>
      </c>
      <c r="R2697" s="64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96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4">
        <v>267.27</v>
      </c>
      <c r="P2698" s="64">
        <v>0</v>
      </c>
      <c r="Q2698" s="64">
        <v>0</v>
      </c>
      <c r="R2698" s="64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96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4">
        <v>41</v>
      </c>
      <c r="P2699" s="64">
        <v>0</v>
      </c>
      <c r="Q2699" s="64">
        <v>0</v>
      </c>
      <c r="R2699" s="64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96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4">
        <v>58</v>
      </c>
      <c r="P2700" s="64">
        <v>0</v>
      </c>
      <c r="Q2700" s="64">
        <v>0</v>
      </c>
      <c r="R2700" s="64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96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4">
        <v>198.88</v>
      </c>
      <c r="P2701" s="64">
        <v>0</v>
      </c>
      <c r="Q2701" s="64">
        <v>0</v>
      </c>
      <c r="R2701" s="64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96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4">
        <v>750</v>
      </c>
      <c r="P2702" s="64">
        <v>0</v>
      </c>
      <c r="Q2702" s="64">
        <v>0</v>
      </c>
      <c r="R2702" s="64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96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4">
        <v>375.02</v>
      </c>
      <c r="P2703" s="64">
        <v>0</v>
      </c>
      <c r="Q2703" s="64">
        <v>0</v>
      </c>
      <c r="R2703" s="64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96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4">
        <v>475</v>
      </c>
      <c r="P2704" s="64">
        <v>0</v>
      </c>
      <c r="Q2704" s="64">
        <v>0</v>
      </c>
      <c r="R2704" s="64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96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4">
        <v>108</v>
      </c>
      <c r="P2705" s="64">
        <v>0</v>
      </c>
      <c r="Q2705" s="64">
        <v>0</v>
      </c>
      <c r="R2705" s="64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96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4">
        <v>167.84</v>
      </c>
      <c r="P2706" s="64">
        <v>0</v>
      </c>
      <c r="Q2706" s="64">
        <v>0</v>
      </c>
      <c r="R2706" s="64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96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4">
        <v>107.97</v>
      </c>
      <c r="P2707" s="64">
        <v>0</v>
      </c>
      <c r="Q2707" s="64">
        <v>0</v>
      </c>
      <c r="R2707" s="64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96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4">
        <v>99.9</v>
      </c>
      <c r="P2708" s="64">
        <v>0</v>
      </c>
      <c r="Q2708" s="64">
        <v>0</v>
      </c>
      <c r="R2708" s="64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96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4">
        <v>179.75</v>
      </c>
      <c r="P2709" s="64">
        <v>0</v>
      </c>
      <c r="Q2709" s="64">
        <v>0</v>
      </c>
      <c r="R2709" s="64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96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4">
        <v>696.37</v>
      </c>
      <c r="P2710" s="64">
        <v>0</v>
      </c>
      <c r="Q2710" s="64">
        <v>0</v>
      </c>
      <c r="R2710" s="64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96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4">
        <v>25</v>
      </c>
      <c r="P2711" s="64">
        <v>0</v>
      </c>
      <c r="Q2711" s="64">
        <v>0</v>
      </c>
      <c r="R2711" s="64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96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4">
        <v>102</v>
      </c>
      <c r="P2712" s="64">
        <v>0</v>
      </c>
      <c r="Q2712" s="64">
        <v>0</v>
      </c>
      <c r="R2712" s="64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96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4">
        <v>30</v>
      </c>
      <c r="P2713" s="64">
        <v>0</v>
      </c>
      <c r="Q2713" s="64">
        <v>0</v>
      </c>
      <c r="R2713" s="64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96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4">
        <v>333.91</v>
      </c>
      <c r="P2714" s="64">
        <v>0</v>
      </c>
      <c r="Q2714" s="64">
        <v>0</v>
      </c>
      <c r="R2714" s="64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96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4">
        <v>57</v>
      </c>
      <c r="P2715" s="64">
        <v>0</v>
      </c>
      <c r="Q2715" s="64">
        <v>0</v>
      </c>
      <c r="R2715" s="64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96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4">
        <v>45</v>
      </c>
      <c r="P2716" s="64">
        <v>0</v>
      </c>
      <c r="Q2716" s="64">
        <v>0</v>
      </c>
      <c r="R2716" s="64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96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4">
        <v>72.98</v>
      </c>
      <c r="P2717" s="64">
        <v>0</v>
      </c>
      <c r="Q2717" s="64">
        <v>0</v>
      </c>
      <c r="R2717" s="64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96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4">
        <v>100</v>
      </c>
      <c r="P2718" s="64">
        <v>0</v>
      </c>
      <c r="Q2718" s="64">
        <v>0</v>
      </c>
      <c r="R2718" s="64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96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4">
        <v>250</v>
      </c>
      <c r="P2719" s="64">
        <v>0</v>
      </c>
      <c r="Q2719" s="64">
        <v>0</v>
      </c>
      <c r="R2719" s="64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96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4">
        <v>587.44000000000005</v>
      </c>
      <c r="P2720" s="64">
        <v>0</v>
      </c>
      <c r="Q2720" s="64">
        <v>0</v>
      </c>
      <c r="R2720" s="64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96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4">
        <v>111.92</v>
      </c>
      <c r="P2721" s="64">
        <v>0</v>
      </c>
      <c r="Q2721" s="64">
        <v>0</v>
      </c>
      <c r="R2721" s="64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96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4">
        <v>20</v>
      </c>
      <c r="P2722" s="64">
        <v>0</v>
      </c>
      <c r="Q2722" s="64">
        <v>0</v>
      </c>
      <c r="R2722" s="64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96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4">
        <v>35.99</v>
      </c>
      <c r="P2723" s="64">
        <v>0</v>
      </c>
      <c r="Q2723" s="64">
        <v>0</v>
      </c>
      <c r="R2723" s="64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96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4">
        <v>150</v>
      </c>
      <c r="P2724" s="64">
        <v>0</v>
      </c>
      <c r="Q2724" s="64">
        <v>0</v>
      </c>
      <c r="R2724" s="64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96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4">
        <v>169.5</v>
      </c>
      <c r="P2725" s="64">
        <v>0</v>
      </c>
      <c r="Q2725" s="64">
        <v>0</v>
      </c>
      <c r="R2725" s="64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96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4">
        <v>104.7</v>
      </c>
      <c r="P2726" s="64">
        <v>0</v>
      </c>
      <c r="Q2726" s="64">
        <v>0</v>
      </c>
      <c r="R2726" s="64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96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4">
        <v>273.55</v>
      </c>
      <c r="P2727" s="64">
        <v>0</v>
      </c>
      <c r="Q2727" s="64">
        <v>0</v>
      </c>
      <c r="R2727" s="64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96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4">
        <v>1915.38</v>
      </c>
      <c r="P2728" s="64">
        <v>0</v>
      </c>
      <c r="Q2728" s="64">
        <v>0</v>
      </c>
      <c r="R2728" s="64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96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4">
        <v>1.77</v>
      </c>
      <c r="P2729" s="64">
        <v>0</v>
      </c>
      <c r="Q2729" s="64">
        <v>0</v>
      </c>
      <c r="R2729" s="64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96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4">
        <v>285</v>
      </c>
      <c r="P2730" s="64">
        <v>0</v>
      </c>
      <c r="Q2730" s="64">
        <v>0</v>
      </c>
      <c r="R2730" s="64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96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4">
        <v>3.13</v>
      </c>
      <c r="P2731" s="64">
        <v>0</v>
      </c>
      <c r="Q2731" s="64">
        <v>0</v>
      </c>
      <c r="R2731" s="64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96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4">
        <v>3.13</v>
      </c>
      <c r="P2732" s="64">
        <v>0</v>
      </c>
      <c r="Q2732" s="64">
        <v>0</v>
      </c>
      <c r="R2732" s="64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96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4">
        <v>17.940000000000001</v>
      </c>
      <c r="P2733" s="64">
        <v>0</v>
      </c>
      <c r="Q2733" s="64">
        <v>0</v>
      </c>
      <c r="R2733" s="64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96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4">
        <v>305</v>
      </c>
      <c r="P2734" s="64">
        <v>0</v>
      </c>
      <c r="Q2734" s="64">
        <v>0</v>
      </c>
      <c r="R2734" s="64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96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4">
        <v>19.98</v>
      </c>
      <c r="P2735" s="64">
        <v>0</v>
      </c>
      <c r="Q2735" s="64">
        <v>0</v>
      </c>
      <c r="R2735" s="64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96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4">
        <v>3.54</v>
      </c>
      <c r="P2736" s="64">
        <v>0</v>
      </c>
      <c r="Q2736" s="64">
        <v>0</v>
      </c>
      <c r="R2736" s="64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96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4">
        <v>12.55</v>
      </c>
      <c r="P2737" s="64">
        <v>0</v>
      </c>
      <c r="Q2737" s="64">
        <v>0</v>
      </c>
      <c r="R2737" s="64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96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4">
        <v>17.91</v>
      </c>
      <c r="P2738" s="64">
        <v>0</v>
      </c>
      <c r="Q2738" s="64">
        <v>0</v>
      </c>
      <c r="R2738" s="64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96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4">
        <v>5.94</v>
      </c>
      <c r="P2739" s="64">
        <v>0</v>
      </c>
      <c r="Q2739" s="64">
        <v>0</v>
      </c>
      <c r="R2739" s="64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96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4">
        <v>30.6</v>
      </c>
      <c r="P2740" s="64">
        <v>0</v>
      </c>
      <c r="Q2740" s="64">
        <v>0</v>
      </c>
      <c r="R2740" s="64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96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4">
        <v>6.26</v>
      </c>
      <c r="P2741" s="64">
        <v>0</v>
      </c>
      <c r="Q2741" s="64">
        <v>0</v>
      </c>
      <c r="R2741" s="64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96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4">
        <v>72.040000000000006</v>
      </c>
      <c r="P2742" s="64">
        <v>0</v>
      </c>
      <c r="Q2742" s="64">
        <v>0</v>
      </c>
      <c r="R2742" s="64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96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4">
        <v>34020.699999999997</v>
      </c>
      <c r="P2743" s="64">
        <v>0</v>
      </c>
      <c r="Q2743" s="64">
        <v>0</v>
      </c>
      <c r="R2743" s="64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96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4">
        <v>34020.699999999997</v>
      </c>
      <c r="P2744" s="64">
        <v>0</v>
      </c>
      <c r="Q2744" s="64">
        <v>0</v>
      </c>
      <c r="R2744" s="64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96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4">
        <v>17902.07</v>
      </c>
      <c r="P2745" s="64">
        <v>0</v>
      </c>
      <c r="Q2745" s="64">
        <v>0</v>
      </c>
      <c r="R2745" s="64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96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4">
        <v>17902.07</v>
      </c>
      <c r="P2746" s="64">
        <v>0</v>
      </c>
      <c r="Q2746" s="64">
        <v>0</v>
      </c>
      <c r="R2746" s="64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96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4">
        <v>44902.23</v>
      </c>
      <c r="P2747" s="64">
        <v>0</v>
      </c>
      <c r="Q2747" s="64">
        <v>0</v>
      </c>
      <c r="R2747" s="64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96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4">
        <v>390</v>
      </c>
      <c r="P2748" s="64">
        <v>0</v>
      </c>
      <c r="Q2748" s="64">
        <v>0</v>
      </c>
      <c r="R2748" s="64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96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4">
        <v>3.13</v>
      </c>
      <c r="P2749" s="64">
        <v>0</v>
      </c>
      <c r="Q2749" s="64">
        <v>0</v>
      </c>
      <c r="R2749" s="64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96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4">
        <v>44.2</v>
      </c>
      <c r="P2750" s="64">
        <v>0</v>
      </c>
      <c r="Q2750" s="64">
        <v>0</v>
      </c>
      <c r="R2750" s="64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96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4">
        <v>20</v>
      </c>
      <c r="P2751" s="64">
        <v>0</v>
      </c>
      <c r="Q2751" s="64">
        <v>0</v>
      </c>
      <c r="R2751" s="64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96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4">
        <v>65</v>
      </c>
      <c r="P2752" s="64">
        <v>0</v>
      </c>
      <c r="Q2752" s="64">
        <v>0</v>
      </c>
      <c r="R2752" s="64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96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4">
        <v>1.77</v>
      </c>
      <c r="P2753" s="64">
        <v>0</v>
      </c>
      <c r="Q2753" s="64">
        <v>0</v>
      </c>
      <c r="R2753" s="64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96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4">
        <v>104.22</v>
      </c>
      <c r="P2754" s="64">
        <v>0</v>
      </c>
      <c r="Q2754" s="64">
        <v>0</v>
      </c>
      <c r="R2754" s="64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96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4">
        <v>10.199999999999999</v>
      </c>
      <c r="P2755" s="64">
        <v>0</v>
      </c>
      <c r="Q2755" s="64">
        <v>0</v>
      </c>
      <c r="R2755" s="64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96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4">
        <v>47.06</v>
      </c>
      <c r="P2756" s="64">
        <v>0</v>
      </c>
      <c r="Q2756" s="64">
        <v>0</v>
      </c>
      <c r="R2756" s="64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96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4">
        <v>250</v>
      </c>
      <c r="P2757" s="64">
        <v>0</v>
      </c>
      <c r="Q2757" s="64">
        <v>0</v>
      </c>
      <c r="R2757" s="64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96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4">
        <v>1000</v>
      </c>
      <c r="P2758" s="64">
        <v>0</v>
      </c>
      <c r="Q2758" s="64">
        <v>0</v>
      </c>
      <c r="R2758" s="64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96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4">
        <v>34.99</v>
      </c>
      <c r="P2759" s="64">
        <v>0</v>
      </c>
      <c r="Q2759" s="64">
        <v>0</v>
      </c>
      <c r="R2759" s="64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96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4">
        <v>17.670000000000002</v>
      </c>
      <c r="P2760" s="64">
        <v>0</v>
      </c>
      <c r="Q2760" s="64">
        <v>0</v>
      </c>
      <c r="R2760" s="64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96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4">
        <v>5.94</v>
      </c>
      <c r="P2761" s="64">
        <v>0</v>
      </c>
      <c r="Q2761" s="64">
        <v>0</v>
      </c>
      <c r="R2761" s="64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96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4">
        <v>20.399999999999999</v>
      </c>
      <c r="P2762" s="64">
        <v>0</v>
      </c>
      <c r="Q2762" s="64">
        <v>0</v>
      </c>
      <c r="R2762" s="64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96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4">
        <v>3.13</v>
      </c>
      <c r="P2763" s="64">
        <v>0</v>
      </c>
      <c r="Q2763" s="64">
        <v>0</v>
      </c>
      <c r="R2763" s="64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96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4">
        <v>5895.1</v>
      </c>
      <c r="P2764" s="64">
        <v>0</v>
      </c>
      <c r="Q2764" s="64">
        <v>0</v>
      </c>
      <c r="R2764" s="64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96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4">
        <v>7</v>
      </c>
      <c r="P2765" s="64">
        <v>0</v>
      </c>
      <c r="Q2765" s="64">
        <v>0</v>
      </c>
      <c r="R2765" s="64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96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4">
        <v>137</v>
      </c>
      <c r="P2766" s="64">
        <v>0</v>
      </c>
      <c r="Q2766" s="64">
        <v>0</v>
      </c>
      <c r="R2766" s="64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96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4">
        <v>49.23</v>
      </c>
      <c r="P2767" s="64">
        <v>0</v>
      </c>
      <c r="Q2767" s="64">
        <v>0</v>
      </c>
      <c r="R2767" s="64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96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4">
        <v>71.98</v>
      </c>
      <c r="P2768" s="64">
        <v>0</v>
      </c>
      <c r="Q2768" s="64">
        <v>0</v>
      </c>
      <c r="R2768" s="64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96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4">
        <v>848.34</v>
      </c>
      <c r="P2769" s="64">
        <v>0</v>
      </c>
      <c r="Q2769" s="64">
        <v>0</v>
      </c>
      <c r="R2769" s="64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96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4">
        <v>922</v>
      </c>
      <c r="P2770" s="64">
        <v>0</v>
      </c>
      <c r="Q2770" s="64">
        <v>0</v>
      </c>
      <c r="R2770" s="64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96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4">
        <v>81.3</v>
      </c>
      <c r="P2771" s="64">
        <v>0</v>
      </c>
      <c r="Q2771" s="64">
        <v>0</v>
      </c>
      <c r="R2771" s="64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96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4">
        <v>1045.8399999999999</v>
      </c>
      <c r="P2772" s="64">
        <v>0</v>
      </c>
      <c r="Q2772" s="64">
        <v>0</v>
      </c>
      <c r="R2772" s="64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96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4">
        <v>475.98</v>
      </c>
      <c r="P2773" s="64">
        <v>0</v>
      </c>
      <c r="Q2773" s="64">
        <v>0</v>
      </c>
      <c r="R2773" s="64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96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4">
        <v>3.54</v>
      </c>
      <c r="P2774" s="64">
        <v>0</v>
      </c>
      <c r="Q2774" s="64">
        <v>0</v>
      </c>
      <c r="R2774" s="64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96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4">
        <v>178.35</v>
      </c>
      <c r="P2775" s="64">
        <v>0</v>
      </c>
      <c r="Q2775" s="64">
        <v>0</v>
      </c>
      <c r="R2775" s="64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96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4">
        <v>17.91</v>
      </c>
      <c r="P2776" s="64">
        <v>0</v>
      </c>
      <c r="Q2776" s="64">
        <v>0</v>
      </c>
      <c r="R2776" s="64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96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4">
        <v>6.26</v>
      </c>
      <c r="P2777" s="64">
        <v>0</v>
      </c>
      <c r="Q2777" s="64">
        <v>0</v>
      </c>
      <c r="R2777" s="64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96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4">
        <v>23.8</v>
      </c>
      <c r="P2778" s="64">
        <v>0</v>
      </c>
      <c r="Q2778" s="64">
        <v>0</v>
      </c>
      <c r="R2778" s="64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96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4">
        <v>56948.89</v>
      </c>
      <c r="P2779" s="64">
        <v>0</v>
      </c>
      <c r="Q2779" s="64">
        <v>0</v>
      </c>
      <c r="R2779" s="64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96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4">
        <v>14204.23</v>
      </c>
      <c r="P2780" s="64">
        <v>0</v>
      </c>
      <c r="Q2780" s="64">
        <v>0</v>
      </c>
      <c r="R2780" s="64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96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4">
        <v>440.89</v>
      </c>
      <c r="P2781" s="64">
        <v>0</v>
      </c>
      <c r="Q2781" s="64">
        <v>0</v>
      </c>
      <c r="R2781" s="64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96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4">
        <v>95.74</v>
      </c>
      <c r="P2782" s="64">
        <v>0</v>
      </c>
      <c r="Q2782" s="64">
        <v>0</v>
      </c>
      <c r="R2782" s="64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96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4">
        <v>427.69</v>
      </c>
      <c r="P2783" s="64">
        <v>0</v>
      </c>
      <c r="Q2783" s="64">
        <v>0</v>
      </c>
      <c r="R2783" s="64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96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4">
        <v>33.799999999999997</v>
      </c>
      <c r="P2784" s="64">
        <v>0</v>
      </c>
      <c r="Q2784" s="64">
        <v>0</v>
      </c>
      <c r="R2784" s="64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96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4">
        <v>16.940000000000001</v>
      </c>
      <c r="P2785" s="64">
        <v>0</v>
      </c>
      <c r="Q2785" s="64">
        <v>0</v>
      </c>
      <c r="R2785" s="64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96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4">
        <v>1180</v>
      </c>
      <c r="P2786" s="64">
        <v>0</v>
      </c>
      <c r="Q2786" s="64">
        <v>0</v>
      </c>
      <c r="R2786" s="64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96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4">
        <v>35</v>
      </c>
      <c r="P2787" s="64">
        <v>0</v>
      </c>
      <c r="Q2787" s="64">
        <v>0</v>
      </c>
      <c r="R2787" s="64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96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4">
        <v>200</v>
      </c>
      <c r="P2788" s="64">
        <v>0</v>
      </c>
      <c r="Q2788" s="64">
        <v>0</v>
      </c>
      <c r="R2788" s="64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96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4">
        <v>140</v>
      </c>
      <c r="P2789" s="64">
        <v>0</v>
      </c>
      <c r="Q2789" s="64">
        <v>0</v>
      </c>
      <c r="R2789" s="64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96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4">
        <v>79.900000000000006</v>
      </c>
      <c r="P2790" s="64">
        <v>0</v>
      </c>
      <c r="Q2790" s="64">
        <v>0</v>
      </c>
      <c r="R2790" s="64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96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4">
        <v>2.59</v>
      </c>
      <c r="P2791" s="64">
        <v>0</v>
      </c>
      <c r="Q2791" s="64">
        <v>0</v>
      </c>
      <c r="R2791" s="64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96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4">
        <v>9.39</v>
      </c>
      <c r="P2792" s="64">
        <v>0</v>
      </c>
      <c r="Q2792" s="64">
        <v>0</v>
      </c>
      <c r="R2792" s="64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96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4">
        <v>3.13</v>
      </c>
      <c r="P2793" s="64">
        <v>0</v>
      </c>
      <c r="Q2793" s="64">
        <v>0</v>
      </c>
      <c r="R2793" s="64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96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4">
        <v>13.6</v>
      </c>
      <c r="P2794" s="64">
        <v>0</v>
      </c>
      <c r="Q2794" s="64">
        <v>0</v>
      </c>
      <c r="R2794" s="64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96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4">
        <v>1000</v>
      </c>
      <c r="P2795" s="64">
        <v>0</v>
      </c>
      <c r="Q2795" s="64">
        <v>0</v>
      </c>
      <c r="R2795" s="64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96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4">
        <v>38.880000000000003</v>
      </c>
      <c r="P2796" s="64">
        <v>0</v>
      </c>
      <c r="Q2796" s="64">
        <v>0</v>
      </c>
      <c r="R2796" s="64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96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4">
        <v>5.31</v>
      </c>
      <c r="P2797" s="64">
        <v>0</v>
      </c>
      <c r="Q2797" s="64">
        <v>0</v>
      </c>
      <c r="R2797" s="64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96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4">
        <v>6.8</v>
      </c>
      <c r="P2798" s="64">
        <v>0</v>
      </c>
      <c r="Q2798" s="64">
        <v>0</v>
      </c>
      <c r="R2798" s="64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96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4">
        <v>18.96</v>
      </c>
      <c r="P2799" s="64">
        <v>0</v>
      </c>
      <c r="Q2799" s="64">
        <v>0</v>
      </c>
      <c r="R2799" s="64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96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4">
        <v>100000</v>
      </c>
      <c r="P2800" s="64">
        <v>0</v>
      </c>
      <c r="Q2800" s="64">
        <v>0</v>
      </c>
      <c r="R2800" s="64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96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4">
        <v>26</v>
      </c>
      <c r="P2801" s="64">
        <v>0</v>
      </c>
      <c r="Q2801" s="64">
        <v>0</v>
      </c>
      <c r="R2801" s="64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96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4">
        <v>100</v>
      </c>
      <c r="P2802" s="64">
        <v>0</v>
      </c>
      <c r="Q2802" s="64">
        <v>0</v>
      </c>
      <c r="R2802" s="64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96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4">
        <v>20</v>
      </c>
      <c r="P2803" s="64">
        <v>0</v>
      </c>
      <c r="Q2803" s="64">
        <v>0</v>
      </c>
      <c r="R2803" s="64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96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4">
        <v>3.54</v>
      </c>
      <c r="P2804" s="64">
        <v>0</v>
      </c>
      <c r="Q2804" s="64">
        <v>0</v>
      </c>
      <c r="R2804" s="64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96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4">
        <v>3.13</v>
      </c>
      <c r="P2805" s="64">
        <v>0</v>
      </c>
      <c r="Q2805" s="64">
        <v>0</v>
      </c>
      <c r="R2805" s="64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96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4">
        <v>10.199999999999999</v>
      </c>
      <c r="P2806" s="64">
        <v>0</v>
      </c>
      <c r="Q2806" s="64">
        <v>0</v>
      </c>
      <c r="R2806" s="64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96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4">
        <v>8282.91</v>
      </c>
      <c r="P2807" s="64">
        <v>0</v>
      </c>
      <c r="Q2807" s="64">
        <v>0</v>
      </c>
      <c r="R2807" s="64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96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4">
        <v>4175</v>
      </c>
      <c r="P2808" s="64">
        <v>0</v>
      </c>
      <c r="Q2808" s="64">
        <v>0</v>
      </c>
      <c r="R2808" s="64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96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4">
        <v>26</v>
      </c>
      <c r="P2809" s="64">
        <v>0</v>
      </c>
      <c r="Q2809" s="64">
        <v>0</v>
      </c>
      <c r="R2809" s="64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96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4">
        <v>357.16</v>
      </c>
      <c r="P2810" s="64">
        <v>0</v>
      </c>
      <c r="Q2810" s="64">
        <v>0</v>
      </c>
      <c r="R2810" s="64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96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4">
        <v>17.82</v>
      </c>
      <c r="P2811" s="64">
        <v>0</v>
      </c>
      <c r="Q2811" s="64">
        <v>0</v>
      </c>
      <c r="R2811" s="64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96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4">
        <v>0.16</v>
      </c>
      <c r="P2812" s="64">
        <v>0</v>
      </c>
      <c r="Q2812" s="64">
        <v>0</v>
      </c>
      <c r="R2812" s="64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96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4">
        <v>100</v>
      </c>
      <c r="P2813" s="64">
        <v>0</v>
      </c>
      <c r="Q2813" s="64">
        <v>0</v>
      </c>
      <c r="R2813" s="64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96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4">
        <v>1399.86</v>
      </c>
      <c r="P2814" s="64">
        <v>0</v>
      </c>
      <c r="Q2814" s="64">
        <v>0</v>
      </c>
      <c r="R2814" s="64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96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4">
        <v>10</v>
      </c>
      <c r="P2815" s="64">
        <v>0</v>
      </c>
      <c r="Q2815" s="64">
        <v>0</v>
      </c>
      <c r="R2815" s="64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96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4">
        <v>114.78</v>
      </c>
      <c r="P2816" s="64">
        <v>0</v>
      </c>
      <c r="Q2816" s="64">
        <v>0</v>
      </c>
      <c r="R2816" s="64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96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4">
        <v>1.77</v>
      </c>
      <c r="P2817" s="64">
        <v>0</v>
      </c>
      <c r="Q2817" s="64">
        <v>0</v>
      </c>
      <c r="R2817" s="64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96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4">
        <v>189</v>
      </c>
      <c r="P2818" s="64">
        <v>0</v>
      </c>
      <c r="Q2818" s="64">
        <v>0</v>
      </c>
      <c r="R2818" s="64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96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4">
        <v>100</v>
      </c>
      <c r="P2819" s="64">
        <v>0</v>
      </c>
      <c r="Q2819" s="64">
        <v>0</v>
      </c>
      <c r="R2819" s="64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96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4">
        <v>50</v>
      </c>
      <c r="P2820" s="64">
        <v>0</v>
      </c>
      <c r="Q2820" s="64">
        <v>0</v>
      </c>
      <c r="R2820" s="64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96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4">
        <v>3.13</v>
      </c>
      <c r="P2821" s="64">
        <v>0</v>
      </c>
      <c r="Q2821" s="64">
        <v>0</v>
      </c>
      <c r="R2821" s="64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96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4">
        <v>27.2</v>
      </c>
      <c r="P2822" s="64">
        <v>0</v>
      </c>
      <c r="Q2822" s="64">
        <v>0</v>
      </c>
      <c r="R2822" s="64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96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4">
        <v>50</v>
      </c>
      <c r="P2823" s="64">
        <v>0</v>
      </c>
      <c r="Q2823" s="64">
        <v>0</v>
      </c>
      <c r="R2823" s="64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96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4">
        <v>22329.32</v>
      </c>
      <c r="P2824" s="64">
        <v>0</v>
      </c>
      <c r="Q2824" s="64">
        <v>0</v>
      </c>
      <c r="R2824" s="64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96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4">
        <v>105200</v>
      </c>
      <c r="P2825" s="64">
        <v>0</v>
      </c>
      <c r="Q2825" s="64">
        <v>0</v>
      </c>
      <c r="R2825" s="64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96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4">
        <v>40976.239999999998</v>
      </c>
      <c r="P2826" s="64">
        <v>0</v>
      </c>
      <c r="Q2826" s="64">
        <v>0</v>
      </c>
      <c r="R2826" s="64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96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4">
        <v>10</v>
      </c>
      <c r="P2827" s="64">
        <v>0</v>
      </c>
      <c r="Q2827" s="64">
        <v>0</v>
      </c>
      <c r="R2827" s="64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96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4">
        <v>39.99</v>
      </c>
      <c r="P2828" s="64">
        <v>0</v>
      </c>
      <c r="Q2828" s="64">
        <v>0</v>
      </c>
      <c r="R2828" s="64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96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4">
        <v>100</v>
      </c>
      <c r="P2829" s="64">
        <v>0</v>
      </c>
      <c r="Q2829" s="64">
        <v>0</v>
      </c>
      <c r="R2829" s="64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96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4">
        <v>26.69</v>
      </c>
      <c r="P2830" s="64">
        <v>0</v>
      </c>
      <c r="Q2830" s="64">
        <v>0</v>
      </c>
      <c r="R2830" s="64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96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4">
        <v>13.6</v>
      </c>
      <c r="P2831" s="64">
        <v>0</v>
      </c>
      <c r="Q2831" s="64">
        <v>0</v>
      </c>
      <c r="R2831" s="64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96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4">
        <v>18.96</v>
      </c>
      <c r="P2832" s="64">
        <v>0</v>
      </c>
      <c r="Q2832" s="64">
        <v>0</v>
      </c>
      <c r="R2832" s="64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96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4">
        <v>30357.61</v>
      </c>
      <c r="P2833" s="64">
        <v>0</v>
      </c>
      <c r="Q2833" s="64">
        <v>0</v>
      </c>
      <c r="R2833" s="64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96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4">
        <v>26</v>
      </c>
      <c r="P2834" s="64">
        <v>0</v>
      </c>
      <c r="Q2834" s="64">
        <v>0</v>
      </c>
      <c r="R2834" s="64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96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4">
        <v>749</v>
      </c>
      <c r="P2835" s="64">
        <v>0</v>
      </c>
      <c r="Q2835" s="64">
        <v>0</v>
      </c>
      <c r="R2835" s="64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96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4">
        <v>5</v>
      </c>
      <c r="P2836" s="64">
        <v>0</v>
      </c>
      <c r="Q2836" s="64">
        <v>0</v>
      </c>
      <c r="R2836" s="64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96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4">
        <v>1.6</v>
      </c>
      <c r="P2837" s="64">
        <v>0</v>
      </c>
      <c r="Q2837" s="64">
        <v>0</v>
      </c>
      <c r="R2837" s="64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96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4">
        <v>13.5</v>
      </c>
      <c r="P2838" s="64">
        <v>0</v>
      </c>
      <c r="Q2838" s="64">
        <v>0</v>
      </c>
      <c r="R2838" s="64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96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4">
        <v>3.54</v>
      </c>
      <c r="P2839" s="64">
        <v>0</v>
      </c>
      <c r="Q2839" s="64">
        <v>0</v>
      </c>
      <c r="R2839" s="64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96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4">
        <v>9.39</v>
      </c>
      <c r="P2840" s="64">
        <v>0</v>
      </c>
      <c r="Q2840" s="64">
        <v>0</v>
      </c>
      <c r="R2840" s="64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96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4">
        <v>17</v>
      </c>
      <c r="P2841" s="64">
        <v>0</v>
      </c>
      <c r="Q2841" s="64">
        <v>0</v>
      </c>
      <c r="R2841" s="64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96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4">
        <v>3.13</v>
      </c>
      <c r="P2842" s="64">
        <v>0</v>
      </c>
      <c r="Q2842" s="64">
        <v>0</v>
      </c>
      <c r="R2842" s="64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96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4">
        <v>100</v>
      </c>
      <c r="P2843" s="64">
        <v>0</v>
      </c>
      <c r="Q2843" s="64">
        <v>0</v>
      </c>
      <c r="R2843" s="64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96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4">
        <v>50</v>
      </c>
      <c r="P2844" s="64">
        <v>0</v>
      </c>
      <c r="Q2844" s="64">
        <v>0</v>
      </c>
      <c r="R2844" s="64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96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4">
        <v>100</v>
      </c>
      <c r="P2845" s="64">
        <v>0</v>
      </c>
      <c r="Q2845" s="64">
        <v>0</v>
      </c>
      <c r="R2845" s="64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96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4">
        <v>180</v>
      </c>
      <c r="P2846" s="64">
        <v>0</v>
      </c>
      <c r="Q2846" s="64">
        <v>0</v>
      </c>
      <c r="R2846" s="64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96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4">
        <v>25</v>
      </c>
      <c r="P2847" s="64">
        <v>0</v>
      </c>
      <c r="Q2847" s="64">
        <v>0</v>
      </c>
      <c r="R2847" s="64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96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4">
        <v>1900</v>
      </c>
      <c r="P2848" s="64">
        <v>0</v>
      </c>
      <c r="Q2848" s="64">
        <v>0</v>
      </c>
      <c r="R2848" s="64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96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4">
        <v>10000</v>
      </c>
      <c r="P2849" s="64">
        <v>0</v>
      </c>
      <c r="Q2849" s="64">
        <v>0</v>
      </c>
      <c r="R2849" s="64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96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4">
        <v>42645.46</v>
      </c>
      <c r="P2850" s="64">
        <v>0</v>
      </c>
      <c r="Q2850" s="64">
        <v>0</v>
      </c>
      <c r="R2850" s="64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96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4">
        <v>42645.46</v>
      </c>
      <c r="P2851" s="64">
        <v>0</v>
      </c>
      <c r="Q2851" s="64">
        <v>0</v>
      </c>
      <c r="R2851" s="64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96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4">
        <v>42645.46</v>
      </c>
      <c r="P2852" s="64">
        <v>0</v>
      </c>
      <c r="Q2852" s="64">
        <v>0</v>
      </c>
      <c r="R2852" s="64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96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4">
        <v>1.77</v>
      </c>
      <c r="P2853" s="64">
        <v>0</v>
      </c>
      <c r="Q2853" s="64">
        <v>0</v>
      </c>
      <c r="R2853" s="64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96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4">
        <v>6.26</v>
      </c>
      <c r="P2854" s="64">
        <v>0</v>
      </c>
      <c r="Q2854" s="64">
        <v>0</v>
      </c>
      <c r="R2854" s="64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96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4">
        <v>3.4</v>
      </c>
      <c r="P2855" s="64">
        <v>0</v>
      </c>
      <c r="Q2855" s="64">
        <v>0</v>
      </c>
      <c r="R2855" s="64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96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4">
        <v>39.19</v>
      </c>
      <c r="P2856" s="64">
        <v>0</v>
      </c>
      <c r="Q2856" s="64">
        <v>0</v>
      </c>
      <c r="R2856" s="64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96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4">
        <v>226.59</v>
      </c>
      <c r="P2857" s="64">
        <v>0</v>
      </c>
      <c r="Q2857" s="64">
        <v>0</v>
      </c>
      <c r="R2857" s="64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96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4">
        <v>431.6</v>
      </c>
      <c r="P2858" s="64">
        <v>0</v>
      </c>
      <c r="Q2858" s="64">
        <v>0</v>
      </c>
      <c r="R2858" s="64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96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4">
        <v>287.75</v>
      </c>
      <c r="P2859" s="64">
        <v>0</v>
      </c>
      <c r="Q2859" s="64">
        <v>0</v>
      </c>
      <c r="R2859" s="64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96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4">
        <v>1311.11</v>
      </c>
      <c r="P2860" s="64">
        <v>0</v>
      </c>
      <c r="Q2860" s="64">
        <v>0</v>
      </c>
      <c r="R2860" s="64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96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4">
        <v>431.6</v>
      </c>
      <c r="P2861" s="64">
        <v>0</v>
      </c>
      <c r="Q2861" s="64">
        <v>0</v>
      </c>
      <c r="R2861" s="64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96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4">
        <v>4560</v>
      </c>
      <c r="P2862" s="64">
        <v>0</v>
      </c>
      <c r="Q2862" s="64">
        <v>0</v>
      </c>
      <c r="R2862" s="64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96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4">
        <v>20</v>
      </c>
      <c r="P2863" s="64">
        <v>0</v>
      </c>
      <c r="Q2863" s="64">
        <v>0</v>
      </c>
      <c r="R2863" s="64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96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4">
        <v>795</v>
      </c>
      <c r="P2864" s="64">
        <v>0</v>
      </c>
      <c r="Q2864" s="64">
        <v>0</v>
      </c>
      <c r="R2864" s="64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96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4">
        <v>1190</v>
      </c>
      <c r="P2865" s="64">
        <v>0</v>
      </c>
      <c r="Q2865" s="64">
        <v>0</v>
      </c>
      <c r="R2865" s="64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96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4">
        <v>500</v>
      </c>
      <c r="P2866" s="64">
        <v>0</v>
      </c>
      <c r="Q2866" s="64">
        <v>0</v>
      </c>
      <c r="R2866" s="64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96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4">
        <v>482.87</v>
      </c>
      <c r="P2867" s="64">
        <v>0</v>
      </c>
      <c r="Q2867" s="64">
        <v>0</v>
      </c>
      <c r="R2867" s="64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96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4">
        <v>200</v>
      </c>
      <c r="P2868" s="64">
        <v>0</v>
      </c>
      <c r="Q2868" s="64">
        <v>0</v>
      </c>
      <c r="R2868" s="64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96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4">
        <v>8.85</v>
      </c>
      <c r="P2869" s="64">
        <v>0</v>
      </c>
      <c r="Q2869" s="64">
        <v>0</v>
      </c>
      <c r="R2869" s="64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96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4">
        <v>36.19</v>
      </c>
      <c r="P2870" s="64">
        <v>0</v>
      </c>
      <c r="Q2870" s="64">
        <v>0</v>
      </c>
      <c r="R2870" s="64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96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4">
        <v>5.94</v>
      </c>
      <c r="P2871" s="64">
        <v>0</v>
      </c>
      <c r="Q2871" s="64">
        <v>0</v>
      </c>
      <c r="R2871" s="64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96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4">
        <v>0.08</v>
      </c>
      <c r="P2872" s="64">
        <v>0</v>
      </c>
      <c r="Q2872" s="64">
        <v>0</v>
      </c>
      <c r="R2872" s="64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96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4">
        <v>6.8</v>
      </c>
      <c r="P2873" s="64">
        <v>0</v>
      </c>
      <c r="Q2873" s="64">
        <v>0</v>
      </c>
      <c r="R2873" s="64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96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4">
        <v>2965</v>
      </c>
      <c r="P2874" s="64">
        <v>0</v>
      </c>
      <c r="Q2874" s="64">
        <v>0</v>
      </c>
      <c r="R2874" s="64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96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4">
        <v>190000</v>
      </c>
      <c r="P2875" s="64">
        <v>0</v>
      </c>
      <c r="Q2875" s="64">
        <v>0</v>
      </c>
      <c r="R2875" s="64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96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4">
        <v>49277.61</v>
      </c>
      <c r="P2876" s="64">
        <v>0</v>
      </c>
      <c r="Q2876" s="64">
        <v>0</v>
      </c>
      <c r="R2876" s="64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96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4">
        <v>32851.74</v>
      </c>
      <c r="P2877" s="64">
        <v>0</v>
      </c>
      <c r="Q2877" s="64">
        <v>0</v>
      </c>
      <c r="R2877" s="64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96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4">
        <v>32851.74</v>
      </c>
      <c r="P2878" s="64">
        <v>0</v>
      </c>
      <c r="Q2878" s="64">
        <v>0</v>
      </c>
      <c r="R2878" s="64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96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4">
        <v>32851.74</v>
      </c>
      <c r="P2879" s="64">
        <v>0</v>
      </c>
      <c r="Q2879" s="64">
        <v>0</v>
      </c>
      <c r="R2879" s="64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96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4">
        <v>49277.61</v>
      </c>
      <c r="P2880" s="64">
        <v>0</v>
      </c>
      <c r="Q2880" s="64">
        <v>0</v>
      </c>
      <c r="R2880" s="64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96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4">
        <v>146.59</v>
      </c>
      <c r="P2881" s="64">
        <v>0</v>
      </c>
      <c r="Q2881" s="64">
        <v>0</v>
      </c>
      <c r="R2881" s="64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96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4">
        <v>105.55</v>
      </c>
      <c r="P2882" s="64">
        <v>0</v>
      </c>
      <c r="Q2882" s="64">
        <v>0</v>
      </c>
      <c r="R2882" s="64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96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4">
        <v>100</v>
      </c>
      <c r="P2883" s="64">
        <v>0</v>
      </c>
      <c r="Q2883" s="64">
        <v>0</v>
      </c>
      <c r="R2883" s="64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96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4">
        <v>756</v>
      </c>
      <c r="P2884" s="64">
        <v>0</v>
      </c>
      <c r="Q2884" s="64">
        <v>0</v>
      </c>
      <c r="R2884" s="64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96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4">
        <v>756</v>
      </c>
      <c r="P2885" s="64">
        <v>0</v>
      </c>
      <c r="Q2885" s="64">
        <v>0</v>
      </c>
      <c r="R2885" s="64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96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4">
        <v>756</v>
      </c>
      <c r="P2886" s="64">
        <v>0</v>
      </c>
      <c r="Q2886" s="64">
        <v>0</v>
      </c>
      <c r="R2886" s="64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96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4">
        <v>5.94</v>
      </c>
      <c r="P2887" s="64">
        <v>0</v>
      </c>
      <c r="Q2887" s="64">
        <v>0</v>
      </c>
      <c r="R2887" s="64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96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4">
        <v>30.6</v>
      </c>
      <c r="P2888" s="64">
        <v>0</v>
      </c>
      <c r="Q2888" s="64">
        <v>0</v>
      </c>
      <c r="R2888" s="64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96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4">
        <v>5.31</v>
      </c>
      <c r="P2889" s="64">
        <v>0</v>
      </c>
      <c r="Q2889" s="64">
        <v>0</v>
      </c>
      <c r="R2889" s="64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96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4">
        <v>20</v>
      </c>
      <c r="P2890" s="64">
        <v>0</v>
      </c>
      <c r="Q2890" s="64">
        <v>0</v>
      </c>
      <c r="R2890" s="64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96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4">
        <v>20</v>
      </c>
      <c r="P2891" s="64">
        <v>0</v>
      </c>
      <c r="Q2891" s="64">
        <v>0</v>
      </c>
      <c r="R2891" s="64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96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4">
        <v>345</v>
      </c>
      <c r="P2892" s="64">
        <v>0</v>
      </c>
      <c r="Q2892" s="64">
        <v>0</v>
      </c>
      <c r="R2892" s="64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96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4">
        <v>3500</v>
      </c>
      <c r="P2893" s="64">
        <v>0</v>
      </c>
      <c r="Q2893" s="64">
        <v>0</v>
      </c>
      <c r="R2893" s="64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96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4">
        <v>25.5</v>
      </c>
      <c r="P2894" s="64">
        <v>0</v>
      </c>
      <c r="Q2894" s="64">
        <v>0</v>
      </c>
      <c r="R2894" s="64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96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4">
        <v>411.93</v>
      </c>
      <c r="P2895" s="64">
        <v>0</v>
      </c>
      <c r="Q2895" s="64">
        <v>0</v>
      </c>
      <c r="R2895" s="64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96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4">
        <v>34.94</v>
      </c>
      <c r="P2896" s="64">
        <v>0</v>
      </c>
      <c r="Q2896" s="64">
        <v>0</v>
      </c>
      <c r="R2896" s="64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96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4">
        <v>243</v>
      </c>
      <c r="P2897" s="64">
        <v>0</v>
      </c>
      <c r="Q2897" s="64">
        <v>0</v>
      </c>
      <c r="R2897" s="64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96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4">
        <v>21.91</v>
      </c>
      <c r="P2898" s="64">
        <v>0</v>
      </c>
      <c r="Q2898" s="64">
        <v>0</v>
      </c>
      <c r="R2898" s="64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96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4">
        <v>3200</v>
      </c>
      <c r="P2899" s="64">
        <v>0</v>
      </c>
      <c r="Q2899" s="64">
        <v>0</v>
      </c>
      <c r="R2899" s="64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96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4">
        <v>3200</v>
      </c>
      <c r="P2900" s="64">
        <v>0</v>
      </c>
      <c r="Q2900" s="64">
        <v>0</v>
      </c>
      <c r="R2900" s="64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96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4">
        <v>3200</v>
      </c>
      <c r="P2901" s="64">
        <v>0</v>
      </c>
      <c r="Q2901" s="64">
        <v>0</v>
      </c>
      <c r="R2901" s="64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96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4">
        <v>2300</v>
      </c>
      <c r="P2902" s="64">
        <v>0</v>
      </c>
      <c r="Q2902" s="64">
        <v>0</v>
      </c>
      <c r="R2902" s="64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96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4">
        <v>2000</v>
      </c>
      <c r="P2903" s="64">
        <v>0</v>
      </c>
      <c r="Q2903" s="64">
        <v>0</v>
      </c>
      <c r="R2903" s="64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96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4">
        <v>1700</v>
      </c>
      <c r="P2904" s="64">
        <v>0</v>
      </c>
      <c r="Q2904" s="64">
        <v>0</v>
      </c>
      <c r="R2904" s="64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96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4">
        <v>19.46</v>
      </c>
      <c r="P2905" s="64">
        <v>0</v>
      </c>
      <c r="Q2905" s="64">
        <v>0</v>
      </c>
      <c r="R2905" s="64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96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4">
        <v>72.989999999999995</v>
      </c>
      <c r="P2906" s="64">
        <v>0</v>
      </c>
      <c r="Q2906" s="64">
        <v>0</v>
      </c>
      <c r="R2906" s="64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96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4">
        <v>660</v>
      </c>
      <c r="P2907" s="64">
        <v>0</v>
      </c>
      <c r="Q2907" s="64">
        <v>0</v>
      </c>
      <c r="R2907" s="64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96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4">
        <v>300</v>
      </c>
      <c r="P2908" s="64">
        <v>0</v>
      </c>
      <c r="Q2908" s="64">
        <v>0</v>
      </c>
      <c r="R2908" s="64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96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4">
        <v>500</v>
      </c>
      <c r="P2909" s="64">
        <v>0</v>
      </c>
      <c r="Q2909" s="64">
        <v>0</v>
      </c>
      <c r="R2909" s="64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96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4">
        <v>100.65</v>
      </c>
      <c r="P2910" s="64">
        <v>0</v>
      </c>
      <c r="Q2910" s="64">
        <v>0</v>
      </c>
      <c r="R2910" s="64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96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4">
        <v>36.99</v>
      </c>
      <c r="P2911" s="64">
        <v>0</v>
      </c>
      <c r="Q2911" s="64">
        <v>0</v>
      </c>
      <c r="R2911" s="64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96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4">
        <v>100</v>
      </c>
      <c r="P2912" s="64">
        <v>0</v>
      </c>
      <c r="Q2912" s="64">
        <v>0</v>
      </c>
      <c r="R2912" s="64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96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4">
        <v>14.99</v>
      </c>
      <c r="P2913" s="64">
        <v>0</v>
      </c>
      <c r="Q2913" s="64">
        <v>0</v>
      </c>
      <c r="R2913" s="64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96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4">
        <v>694</v>
      </c>
      <c r="P2914" s="64">
        <v>0</v>
      </c>
      <c r="Q2914" s="64">
        <v>0</v>
      </c>
      <c r="R2914" s="64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96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4">
        <v>3.13</v>
      </c>
      <c r="P2915" s="64">
        <v>0</v>
      </c>
      <c r="Q2915" s="64">
        <v>0</v>
      </c>
      <c r="R2915" s="64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96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4">
        <v>13.6</v>
      </c>
      <c r="P2916" s="64">
        <v>0</v>
      </c>
      <c r="Q2916" s="64">
        <v>0</v>
      </c>
      <c r="R2916" s="64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96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4">
        <v>10880</v>
      </c>
      <c r="P2917" s="64">
        <v>0</v>
      </c>
      <c r="Q2917" s="64">
        <v>0</v>
      </c>
      <c r="R2917" s="64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96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4">
        <v>500</v>
      </c>
      <c r="P2918" s="64">
        <v>0</v>
      </c>
      <c r="Q2918" s="64">
        <v>0</v>
      </c>
      <c r="R2918" s="64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96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4">
        <v>22.98</v>
      </c>
      <c r="P2919" s="64">
        <v>0</v>
      </c>
      <c r="Q2919" s="64">
        <v>0</v>
      </c>
      <c r="R2919" s="64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96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4">
        <v>29.99</v>
      </c>
      <c r="P2920" s="64">
        <v>0</v>
      </c>
      <c r="Q2920" s="64">
        <v>0</v>
      </c>
      <c r="R2920" s="64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96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4">
        <v>180</v>
      </c>
      <c r="P2921" s="64">
        <v>0</v>
      </c>
      <c r="Q2921" s="64">
        <v>0</v>
      </c>
      <c r="R2921" s="64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96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4">
        <v>3.2</v>
      </c>
      <c r="P2922" s="64">
        <v>0</v>
      </c>
      <c r="Q2922" s="64">
        <v>0</v>
      </c>
      <c r="R2922" s="64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96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4">
        <v>3.54</v>
      </c>
      <c r="P2923" s="64">
        <v>0</v>
      </c>
      <c r="Q2923" s="64">
        <v>0</v>
      </c>
      <c r="R2923" s="64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96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4">
        <v>0.16</v>
      </c>
      <c r="P2924" s="64">
        <v>0</v>
      </c>
      <c r="Q2924" s="64">
        <v>0</v>
      </c>
      <c r="R2924" s="64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96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4">
        <v>3.4</v>
      </c>
      <c r="P2925" s="64">
        <v>0</v>
      </c>
      <c r="Q2925" s="64">
        <v>0</v>
      </c>
      <c r="R2925" s="64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96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4">
        <v>35</v>
      </c>
      <c r="P2926" s="64">
        <v>0</v>
      </c>
      <c r="Q2926" s="64">
        <v>0</v>
      </c>
      <c r="R2926" s="64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96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4">
        <v>596.59</v>
      </c>
      <c r="P2927" s="64">
        <v>0</v>
      </c>
      <c r="Q2927" s="64">
        <v>0</v>
      </c>
      <c r="R2927" s="64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96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4">
        <v>130</v>
      </c>
      <c r="P2928" s="64">
        <v>0</v>
      </c>
      <c r="Q2928" s="64">
        <v>0</v>
      </c>
      <c r="R2928" s="64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96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4">
        <v>17</v>
      </c>
      <c r="P2929" s="64">
        <v>0</v>
      </c>
      <c r="Q2929" s="64">
        <v>0</v>
      </c>
      <c r="R2929" s="64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96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4">
        <v>20</v>
      </c>
      <c r="P2930" s="64">
        <v>0</v>
      </c>
      <c r="Q2930" s="64">
        <v>0</v>
      </c>
      <c r="R2930" s="64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96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4">
        <v>1.77</v>
      </c>
      <c r="P2931" s="64">
        <v>0</v>
      </c>
      <c r="Q2931" s="64">
        <v>0</v>
      </c>
      <c r="R2931" s="64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96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4">
        <v>11.88</v>
      </c>
      <c r="P2932" s="64">
        <v>0</v>
      </c>
      <c r="Q2932" s="64">
        <v>0</v>
      </c>
      <c r="R2932" s="64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96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4">
        <v>3.13</v>
      </c>
      <c r="P2933" s="64">
        <v>0</v>
      </c>
      <c r="Q2933" s="64">
        <v>0</v>
      </c>
      <c r="R2933" s="64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96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4">
        <v>1109.81</v>
      </c>
      <c r="P2934" s="64">
        <v>0</v>
      </c>
      <c r="Q2934" s="64">
        <v>0</v>
      </c>
      <c r="R2934" s="64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96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4">
        <v>1.6</v>
      </c>
      <c r="P2935" s="64">
        <v>0</v>
      </c>
      <c r="Q2935" s="64">
        <v>0</v>
      </c>
      <c r="R2935" s="64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96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4">
        <v>250</v>
      </c>
      <c r="P2936" s="64">
        <v>0</v>
      </c>
      <c r="Q2936" s="64">
        <v>0</v>
      </c>
      <c r="R2936" s="64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96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4">
        <v>750</v>
      </c>
      <c r="P2937" s="64">
        <v>0</v>
      </c>
      <c r="Q2937" s="64">
        <v>0</v>
      </c>
      <c r="R2937" s="64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96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4">
        <v>52.95</v>
      </c>
      <c r="P2938" s="64">
        <v>0</v>
      </c>
      <c r="Q2938" s="64">
        <v>0</v>
      </c>
      <c r="R2938" s="64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96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4">
        <v>0.04</v>
      </c>
      <c r="P2939" s="64">
        <v>0</v>
      </c>
      <c r="Q2939" s="64">
        <v>0</v>
      </c>
      <c r="R2939" s="64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96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4">
        <v>20.399999999999999</v>
      </c>
      <c r="P2940" s="64">
        <v>0</v>
      </c>
      <c r="Q2940" s="64">
        <v>0</v>
      </c>
      <c r="R2940" s="64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96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4">
        <v>750</v>
      </c>
      <c r="P2941" s="64">
        <v>0</v>
      </c>
      <c r="Q2941" s="64">
        <v>0</v>
      </c>
      <c r="R2941" s="64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96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4">
        <v>99.9</v>
      </c>
      <c r="P2942" s="64">
        <v>0</v>
      </c>
      <c r="Q2942" s="64">
        <v>0</v>
      </c>
      <c r="R2942" s="64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96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4">
        <v>686.99</v>
      </c>
      <c r="P2943" s="64">
        <v>0</v>
      </c>
      <c r="Q2943" s="64">
        <v>0</v>
      </c>
      <c r="R2943" s="64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96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4">
        <v>250</v>
      </c>
      <c r="P2944" s="64">
        <v>0</v>
      </c>
      <c r="Q2944" s="64">
        <v>0</v>
      </c>
      <c r="R2944" s="64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96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4">
        <v>100</v>
      </c>
      <c r="P2945" s="64">
        <v>0</v>
      </c>
      <c r="Q2945" s="64">
        <v>0</v>
      </c>
      <c r="R2945" s="64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96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4">
        <v>971.25</v>
      </c>
      <c r="P2946" s="64">
        <v>0</v>
      </c>
      <c r="Q2946" s="64">
        <v>0</v>
      </c>
      <c r="R2946" s="64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96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4">
        <v>587.44000000000005</v>
      </c>
      <c r="P2947" s="64">
        <v>0</v>
      </c>
      <c r="Q2947" s="64">
        <v>0</v>
      </c>
      <c r="R2947" s="64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96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4">
        <v>415.87</v>
      </c>
      <c r="P2948" s="64">
        <v>0</v>
      </c>
      <c r="Q2948" s="64">
        <v>0</v>
      </c>
      <c r="R2948" s="64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96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4">
        <v>534.04999999999995</v>
      </c>
      <c r="P2949" s="64">
        <v>0</v>
      </c>
      <c r="Q2949" s="64">
        <v>0</v>
      </c>
      <c r="R2949" s="64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96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4">
        <v>1120</v>
      </c>
      <c r="P2950" s="64">
        <v>0</v>
      </c>
      <c r="Q2950" s="64">
        <v>0</v>
      </c>
      <c r="R2950" s="64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96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4">
        <v>51.48</v>
      </c>
      <c r="P2951" s="64">
        <v>0</v>
      </c>
      <c r="Q2951" s="64">
        <v>0</v>
      </c>
      <c r="R2951" s="64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96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4">
        <v>100</v>
      </c>
      <c r="P2952" s="64">
        <v>0</v>
      </c>
      <c r="Q2952" s="64">
        <v>0</v>
      </c>
      <c r="R2952" s="64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96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4">
        <v>4496.8599999999997</v>
      </c>
      <c r="P2953" s="64">
        <v>0</v>
      </c>
      <c r="Q2953" s="64">
        <v>0</v>
      </c>
      <c r="R2953" s="64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96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4">
        <v>205</v>
      </c>
      <c r="P2954" s="64">
        <v>0</v>
      </c>
      <c r="Q2954" s="64">
        <v>0</v>
      </c>
      <c r="R2954" s="64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96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4">
        <v>169.5</v>
      </c>
      <c r="P2955" s="64">
        <v>0</v>
      </c>
      <c r="Q2955" s="64">
        <v>0</v>
      </c>
      <c r="R2955" s="64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96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4">
        <v>104.7</v>
      </c>
      <c r="P2956" s="64">
        <v>0</v>
      </c>
      <c r="Q2956" s="64">
        <v>0</v>
      </c>
      <c r="R2956" s="64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96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4">
        <v>614.70000000000005</v>
      </c>
      <c r="P2957" s="64">
        <v>0</v>
      </c>
      <c r="Q2957" s="64">
        <v>0</v>
      </c>
      <c r="R2957" s="64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96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4">
        <v>1915.38</v>
      </c>
      <c r="P2958" s="64">
        <v>0</v>
      </c>
      <c r="Q2958" s="64">
        <v>0</v>
      </c>
      <c r="R2958" s="64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96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4">
        <v>5.31</v>
      </c>
      <c r="P2959" s="64">
        <v>0</v>
      </c>
      <c r="Q2959" s="64">
        <v>0</v>
      </c>
      <c r="R2959" s="64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96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4">
        <v>2.59</v>
      </c>
      <c r="P2960" s="64">
        <v>0</v>
      </c>
      <c r="Q2960" s="64">
        <v>0</v>
      </c>
      <c r="R2960" s="64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96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4">
        <v>5.94</v>
      </c>
      <c r="P2961" s="64">
        <v>0</v>
      </c>
      <c r="Q2961" s="64">
        <v>0</v>
      </c>
      <c r="R2961" s="64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96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4">
        <v>3.13</v>
      </c>
      <c r="P2962" s="64">
        <v>0</v>
      </c>
      <c r="Q2962" s="64">
        <v>0</v>
      </c>
      <c r="R2962" s="64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96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4">
        <v>3.13</v>
      </c>
      <c r="P2963" s="64">
        <v>0</v>
      </c>
      <c r="Q2963" s="64">
        <v>0</v>
      </c>
      <c r="R2963" s="64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96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4">
        <v>10.199999999999999</v>
      </c>
      <c r="P2964" s="64">
        <v>0</v>
      </c>
      <c r="Q2964" s="64">
        <v>0</v>
      </c>
      <c r="R2964" s="64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96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4">
        <v>17.95</v>
      </c>
      <c r="P2965" s="64">
        <v>0</v>
      </c>
      <c r="Q2965" s="64">
        <v>0</v>
      </c>
      <c r="R2965" s="64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96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4">
        <v>250</v>
      </c>
      <c r="P2966" s="64">
        <v>0</v>
      </c>
      <c r="Q2966" s="64">
        <v>0</v>
      </c>
      <c r="R2966" s="64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96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4">
        <v>220</v>
      </c>
      <c r="P2967" s="64">
        <v>0</v>
      </c>
      <c r="Q2967" s="64">
        <v>0</v>
      </c>
      <c r="R2967" s="64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96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4">
        <v>6.99</v>
      </c>
      <c r="P2968" s="64">
        <v>0</v>
      </c>
      <c r="Q2968" s="64">
        <v>0</v>
      </c>
      <c r="R2968" s="64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96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4">
        <v>150</v>
      </c>
      <c r="P2969" s="64">
        <v>0</v>
      </c>
      <c r="Q2969" s="64">
        <v>0</v>
      </c>
      <c r="R2969" s="64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96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4">
        <v>65</v>
      </c>
      <c r="P2970" s="64">
        <v>0</v>
      </c>
      <c r="Q2970" s="64">
        <v>0</v>
      </c>
      <c r="R2970" s="64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96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4">
        <v>206</v>
      </c>
      <c r="P2971" s="64">
        <v>0</v>
      </c>
      <c r="Q2971" s="64">
        <v>0</v>
      </c>
      <c r="R2971" s="64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96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4">
        <v>146.93</v>
      </c>
      <c r="P2972" s="64">
        <v>0</v>
      </c>
      <c r="Q2972" s="64">
        <v>0</v>
      </c>
      <c r="R2972" s="64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96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4">
        <v>1800</v>
      </c>
      <c r="P2973" s="64">
        <v>0</v>
      </c>
      <c r="Q2973" s="64">
        <v>0</v>
      </c>
      <c r="R2973" s="64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96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4">
        <v>100000</v>
      </c>
      <c r="P2974" s="64">
        <v>0</v>
      </c>
      <c r="Q2974" s="64">
        <v>0</v>
      </c>
      <c r="R2974" s="64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96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4">
        <v>1.6</v>
      </c>
      <c r="P2975" s="64">
        <v>0</v>
      </c>
      <c r="Q2975" s="64">
        <v>0</v>
      </c>
      <c r="R2975" s="64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96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4">
        <v>20.399999999999999</v>
      </c>
      <c r="P2976" s="64">
        <v>0</v>
      </c>
      <c r="Q2976" s="64">
        <v>0</v>
      </c>
      <c r="R2976" s="64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96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4">
        <v>8800</v>
      </c>
      <c r="P2977" s="64">
        <v>0</v>
      </c>
      <c r="Q2977" s="64">
        <v>0</v>
      </c>
      <c r="R2977" s="64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96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4">
        <v>270</v>
      </c>
      <c r="P2978" s="64">
        <v>0</v>
      </c>
      <c r="Q2978" s="64">
        <v>0</v>
      </c>
      <c r="R2978" s="64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96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4">
        <v>59.98</v>
      </c>
      <c r="P2979" s="64">
        <v>0</v>
      </c>
      <c r="Q2979" s="64">
        <v>0</v>
      </c>
      <c r="R2979" s="64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96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4">
        <v>8224.2000000000007</v>
      </c>
      <c r="P2980" s="64">
        <v>0</v>
      </c>
      <c r="Q2980" s="64">
        <v>0</v>
      </c>
      <c r="R2980" s="64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96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4">
        <v>50000</v>
      </c>
      <c r="P2981" s="64">
        <v>0</v>
      </c>
      <c r="Q2981" s="64">
        <v>0</v>
      </c>
      <c r="R2981" s="64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96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4">
        <v>10000</v>
      </c>
      <c r="P2982" s="64">
        <v>0</v>
      </c>
      <c r="Q2982" s="64">
        <v>0</v>
      </c>
      <c r="R2982" s="64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96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4">
        <v>153000</v>
      </c>
      <c r="P2983" s="64">
        <v>0</v>
      </c>
      <c r="Q2983" s="64">
        <v>0</v>
      </c>
      <c r="R2983" s="64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96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4">
        <v>320</v>
      </c>
      <c r="P2984" s="64">
        <v>0</v>
      </c>
      <c r="Q2984" s="64">
        <v>0</v>
      </c>
      <c r="R2984" s="64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96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4">
        <v>5.31</v>
      </c>
      <c r="P2985" s="64">
        <v>0</v>
      </c>
      <c r="Q2985" s="64">
        <v>0</v>
      </c>
      <c r="R2985" s="64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96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4">
        <v>650</v>
      </c>
      <c r="P2986" s="64">
        <v>0</v>
      </c>
      <c r="Q2986" s="64">
        <v>0</v>
      </c>
      <c r="R2986" s="64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96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4">
        <v>100</v>
      </c>
      <c r="P2987" s="64">
        <v>0</v>
      </c>
      <c r="Q2987" s="64">
        <v>0</v>
      </c>
      <c r="R2987" s="64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96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4">
        <v>3.13</v>
      </c>
      <c r="P2988" s="64">
        <v>0</v>
      </c>
      <c r="Q2988" s="64">
        <v>0</v>
      </c>
      <c r="R2988" s="64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96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4">
        <v>290.95</v>
      </c>
      <c r="P2989" s="64">
        <v>0</v>
      </c>
      <c r="Q2989" s="64">
        <v>0</v>
      </c>
      <c r="R2989" s="64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96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4">
        <v>184.95</v>
      </c>
      <c r="P2990" s="64">
        <v>0</v>
      </c>
      <c r="Q2990" s="64">
        <v>0</v>
      </c>
      <c r="R2990" s="64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96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4">
        <v>408.4</v>
      </c>
      <c r="P2991" s="64">
        <v>0</v>
      </c>
      <c r="Q2991" s="64">
        <v>0</v>
      </c>
      <c r="R2991" s="64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96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4">
        <v>250</v>
      </c>
      <c r="P2992" s="64">
        <v>0</v>
      </c>
      <c r="Q2992" s="64">
        <v>0</v>
      </c>
      <c r="R2992" s="64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96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4">
        <v>7.08</v>
      </c>
      <c r="P2993" s="64">
        <v>0</v>
      </c>
      <c r="Q2993" s="64">
        <v>0</v>
      </c>
      <c r="R2993" s="64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96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4">
        <v>23.8</v>
      </c>
      <c r="P2994" s="64">
        <v>0</v>
      </c>
      <c r="Q2994" s="64">
        <v>0</v>
      </c>
      <c r="R2994" s="64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96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4">
        <v>109.38</v>
      </c>
      <c r="P2995" s="64">
        <v>0</v>
      </c>
      <c r="Q2995" s="64">
        <v>0</v>
      </c>
      <c r="R2995" s="64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96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4">
        <v>326.22000000000003</v>
      </c>
      <c r="P2996" s="64">
        <v>0</v>
      </c>
      <c r="Q2996" s="64">
        <v>0</v>
      </c>
      <c r="R2996" s="64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96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4">
        <v>1350</v>
      </c>
      <c r="P2997" s="64">
        <v>0</v>
      </c>
      <c r="Q2997" s="64">
        <v>0</v>
      </c>
      <c r="R2997" s="64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96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4">
        <v>118.6</v>
      </c>
      <c r="P2998" s="64">
        <v>0</v>
      </c>
      <c r="Q2998" s="64">
        <v>0</v>
      </c>
      <c r="R2998" s="64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96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4">
        <v>19.989999999999998</v>
      </c>
      <c r="P2999" s="64">
        <v>0</v>
      </c>
      <c r="Q2999" s="64">
        <v>0</v>
      </c>
      <c r="R2999" s="64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96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4">
        <v>104434.21</v>
      </c>
      <c r="P3000" s="64">
        <v>0</v>
      </c>
      <c r="Q3000" s="64">
        <v>0</v>
      </c>
      <c r="R3000" s="64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96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4">
        <v>150</v>
      </c>
      <c r="P3001" s="64">
        <v>0</v>
      </c>
      <c r="Q3001" s="64">
        <v>0</v>
      </c>
      <c r="R3001" s="64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96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4">
        <v>475.98</v>
      </c>
      <c r="P3002" s="64">
        <v>0</v>
      </c>
      <c r="Q3002" s="64">
        <v>0</v>
      </c>
      <c r="R3002" s="64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96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4">
        <v>1.77</v>
      </c>
      <c r="P3003" s="64">
        <v>0</v>
      </c>
      <c r="Q3003" s="64">
        <v>0</v>
      </c>
      <c r="R3003" s="64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96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4">
        <v>35</v>
      </c>
      <c r="P3004" s="64">
        <v>0</v>
      </c>
      <c r="Q3004" s="64">
        <v>0</v>
      </c>
      <c r="R3004" s="64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96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4">
        <v>175.68</v>
      </c>
      <c r="P3005" s="64">
        <v>0</v>
      </c>
      <c r="Q3005" s="64">
        <v>0</v>
      </c>
      <c r="R3005" s="64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96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4">
        <v>32.99</v>
      </c>
      <c r="P3006" s="64">
        <v>0</v>
      </c>
      <c r="Q3006" s="64">
        <v>0</v>
      </c>
      <c r="R3006" s="64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96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4">
        <v>6.8</v>
      </c>
      <c r="P3007" s="64">
        <v>0</v>
      </c>
      <c r="Q3007" s="64">
        <v>0</v>
      </c>
      <c r="R3007" s="64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96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4">
        <v>1044.55</v>
      </c>
      <c r="P3008" s="64">
        <v>0</v>
      </c>
      <c r="Q3008" s="64">
        <v>0</v>
      </c>
      <c r="R3008" s="64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96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4">
        <v>380</v>
      </c>
      <c r="P3009" s="64">
        <v>0</v>
      </c>
      <c r="Q3009" s="64">
        <v>0</v>
      </c>
      <c r="R3009" s="64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96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4">
        <v>22</v>
      </c>
      <c r="P3010" s="64">
        <v>0</v>
      </c>
      <c r="Q3010" s="64">
        <v>0</v>
      </c>
      <c r="R3010" s="64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96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4">
        <v>20</v>
      </c>
      <c r="P3011" s="64">
        <v>0</v>
      </c>
      <c r="Q3011" s="64">
        <v>0</v>
      </c>
      <c r="R3011" s="64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96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4">
        <v>230</v>
      </c>
      <c r="P3012" s="64">
        <v>0</v>
      </c>
      <c r="Q3012" s="64">
        <v>0</v>
      </c>
      <c r="R3012" s="64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96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4">
        <v>3.54</v>
      </c>
      <c r="P3013" s="64">
        <v>0</v>
      </c>
      <c r="Q3013" s="64">
        <v>0</v>
      </c>
      <c r="R3013" s="64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96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4">
        <v>150</v>
      </c>
      <c r="P3014" s="64">
        <v>0</v>
      </c>
      <c r="Q3014" s="64">
        <v>0</v>
      </c>
      <c r="R3014" s="64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96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4">
        <v>282.39999999999998</v>
      </c>
      <c r="P3015" s="64">
        <v>0</v>
      </c>
      <c r="Q3015" s="64">
        <v>0</v>
      </c>
      <c r="R3015" s="64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96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4">
        <v>91</v>
      </c>
      <c r="P3016" s="64">
        <v>0</v>
      </c>
      <c r="Q3016" s="64">
        <v>0</v>
      </c>
      <c r="R3016" s="64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96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4">
        <v>2.59</v>
      </c>
      <c r="P3017" s="64">
        <v>0</v>
      </c>
      <c r="Q3017" s="64">
        <v>0</v>
      </c>
      <c r="R3017" s="64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96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4">
        <v>5.94</v>
      </c>
      <c r="P3018" s="64">
        <v>0</v>
      </c>
      <c r="Q3018" s="64">
        <v>0</v>
      </c>
      <c r="R3018" s="64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96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4">
        <v>12.52</v>
      </c>
      <c r="P3019" s="64">
        <v>0</v>
      </c>
      <c r="Q3019" s="64">
        <v>0</v>
      </c>
      <c r="R3019" s="64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96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4">
        <v>3.13</v>
      </c>
      <c r="P3020" s="64">
        <v>0</v>
      </c>
      <c r="Q3020" s="64">
        <v>0</v>
      </c>
      <c r="R3020" s="64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96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4">
        <v>0.16</v>
      </c>
      <c r="P3021" s="64">
        <v>0</v>
      </c>
      <c r="Q3021" s="64">
        <v>0</v>
      </c>
      <c r="R3021" s="64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96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4">
        <v>57.8</v>
      </c>
      <c r="P3022" s="64">
        <v>0</v>
      </c>
      <c r="Q3022" s="64">
        <v>0</v>
      </c>
      <c r="R3022" s="64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96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4">
        <v>9.39</v>
      </c>
      <c r="P3023" s="64">
        <v>0</v>
      </c>
      <c r="Q3023" s="64">
        <v>0</v>
      </c>
      <c r="R3023" s="64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96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4">
        <v>56948.89</v>
      </c>
      <c r="P3024" s="64">
        <v>0</v>
      </c>
      <c r="Q3024" s="64">
        <v>0</v>
      </c>
      <c r="R3024" s="64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96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4">
        <v>1000</v>
      </c>
      <c r="P3025" s="64">
        <v>0</v>
      </c>
      <c r="Q3025" s="64">
        <v>0</v>
      </c>
      <c r="R3025" s="64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96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4">
        <v>380</v>
      </c>
      <c r="P3026" s="64">
        <v>0</v>
      </c>
      <c r="Q3026" s="64">
        <v>0</v>
      </c>
      <c r="R3026" s="64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96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4">
        <v>39</v>
      </c>
      <c r="P3027" s="64">
        <v>0</v>
      </c>
      <c r="Q3027" s="64">
        <v>0</v>
      </c>
      <c r="R3027" s="64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96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4">
        <v>290.95</v>
      </c>
      <c r="P3028" s="64">
        <v>0</v>
      </c>
      <c r="Q3028" s="64">
        <v>0</v>
      </c>
      <c r="R3028" s="64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96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4">
        <v>28895.82</v>
      </c>
      <c r="P3029" s="64">
        <v>0</v>
      </c>
      <c r="Q3029" s="64">
        <v>0</v>
      </c>
      <c r="R3029" s="64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96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4">
        <v>304.60000000000002</v>
      </c>
      <c r="P3030" s="64">
        <v>0</v>
      </c>
      <c r="Q3030" s="64">
        <v>0</v>
      </c>
      <c r="R3030" s="64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96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4">
        <v>294.02999999999997</v>
      </c>
      <c r="P3031" s="64">
        <v>0</v>
      </c>
      <c r="Q3031" s="64">
        <v>0</v>
      </c>
      <c r="R3031" s="64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96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4">
        <v>220</v>
      </c>
      <c r="P3032" s="64">
        <v>0</v>
      </c>
      <c r="Q3032" s="64">
        <v>0</v>
      </c>
      <c r="R3032" s="64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96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4">
        <v>52</v>
      </c>
      <c r="P3033" s="64">
        <v>0</v>
      </c>
      <c r="Q3033" s="64">
        <v>0</v>
      </c>
      <c r="R3033" s="64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96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4">
        <v>319.25</v>
      </c>
      <c r="P3034" s="64">
        <v>0</v>
      </c>
      <c r="Q3034" s="64">
        <v>0</v>
      </c>
      <c r="R3034" s="64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96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4">
        <v>26</v>
      </c>
      <c r="P3035" s="64">
        <v>0</v>
      </c>
      <c r="Q3035" s="64">
        <v>0</v>
      </c>
      <c r="R3035" s="64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96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4">
        <v>35.99</v>
      </c>
      <c r="P3036" s="64">
        <v>0</v>
      </c>
      <c r="Q3036" s="64">
        <v>0</v>
      </c>
      <c r="R3036" s="64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96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4">
        <v>100</v>
      </c>
      <c r="P3037" s="64">
        <v>0</v>
      </c>
      <c r="Q3037" s="64">
        <v>0</v>
      </c>
      <c r="R3037" s="64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96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4">
        <v>112.1</v>
      </c>
      <c r="P3038" s="64">
        <v>0</v>
      </c>
      <c r="Q3038" s="64">
        <v>0</v>
      </c>
      <c r="R3038" s="64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96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4">
        <v>80</v>
      </c>
      <c r="P3039" s="64">
        <v>0</v>
      </c>
      <c r="Q3039" s="64">
        <v>0</v>
      </c>
      <c r="R3039" s="64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96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4">
        <v>5.31</v>
      </c>
      <c r="P3040" s="64">
        <v>0</v>
      </c>
      <c r="Q3040" s="64">
        <v>0</v>
      </c>
      <c r="R3040" s="64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96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4">
        <v>10.199999999999999</v>
      </c>
      <c r="P3041" s="64">
        <v>0</v>
      </c>
      <c r="Q3041" s="64">
        <v>0</v>
      </c>
      <c r="R3041" s="64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96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4">
        <v>220</v>
      </c>
      <c r="P3042" s="64">
        <v>0</v>
      </c>
      <c r="Q3042" s="64">
        <v>0</v>
      </c>
      <c r="R3042" s="64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96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4">
        <v>26.42</v>
      </c>
      <c r="P3043" s="64">
        <v>0</v>
      </c>
      <c r="Q3043" s="64">
        <v>0</v>
      </c>
      <c r="R3043" s="64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96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4">
        <v>339.46</v>
      </c>
      <c r="P3044" s="64">
        <v>0</v>
      </c>
      <c r="Q3044" s="64">
        <v>0</v>
      </c>
      <c r="R3044" s="64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96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4">
        <v>36</v>
      </c>
      <c r="P3045" s="64">
        <v>0</v>
      </c>
      <c r="Q3045" s="64">
        <v>0</v>
      </c>
      <c r="R3045" s="64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96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4">
        <v>382.45</v>
      </c>
      <c r="P3046" s="64">
        <v>0</v>
      </c>
      <c r="Q3046" s="64">
        <v>0</v>
      </c>
      <c r="R3046" s="64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96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4">
        <v>47.14</v>
      </c>
      <c r="P3047" s="64">
        <v>0</v>
      </c>
      <c r="Q3047" s="64">
        <v>0</v>
      </c>
      <c r="R3047" s="64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96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4">
        <v>245.47</v>
      </c>
      <c r="P3048" s="64">
        <v>0</v>
      </c>
      <c r="Q3048" s="64">
        <v>0</v>
      </c>
      <c r="R3048" s="64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96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4">
        <v>13.1</v>
      </c>
      <c r="P3049" s="64">
        <v>0</v>
      </c>
      <c r="Q3049" s="64">
        <v>0</v>
      </c>
      <c r="R3049" s="64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96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4">
        <v>300</v>
      </c>
      <c r="P3050" s="64">
        <v>0</v>
      </c>
      <c r="Q3050" s="64">
        <v>0</v>
      </c>
      <c r="R3050" s="64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96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4">
        <v>628.94000000000005</v>
      </c>
      <c r="P3051" s="64">
        <v>0</v>
      </c>
      <c r="Q3051" s="64">
        <v>0</v>
      </c>
      <c r="R3051" s="64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96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4">
        <v>2.59</v>
      </c>
      <c r="P3052" s="64">
        <v>0</v>
      </c>
      <c r="Q3052" s="64">
        <v>0</v>
      </c>
      <c r="R3052" s="64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96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4">
        <v>3.13</v>
      </c>
      <c r="P3053" s="64">
        <v>0</v>
      </c>
      <c r="Q3053" s="64">
        <v>0</v>
      </c>
      <c r="R3053" s="64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96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4">
        <v>17</v>
      </c>
      <c r="P3054" s="64">
        <v>0</v>
      </c>
      <c r="Q3054" s="64">
        <v>0</v>
      </c>
      <c r="R3054" s="64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96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4">
        <v>100</v>
      </c>
      <c r="P3055" s="64">
        <v>0</v>
      </c>
      <c r="Q3055" s="64">
        <v>0</v>
      </c>
      <c r="R3055" s="64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96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4">
        <v>9627.27</v>
      </c>
      <c r="P3056" s="64">
        <v>0</v>
      </c>
      <c r="Q3056" s="64">
        <v>0</v>
      </c>
      <c r="R3056" s="64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96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4">
        <v>3242</v>
      </c>
      <c r="P3057" s="64">
        <v>0</v>
      </c>
      <c r="Q3057" s="64">
        <v>0</v>
      </c>
      <c r="R3057" s="64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96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4">
        <v>58</v>
      </c>
      <c r="P3058" s="64">
        <v>0</v>
      </c>
      <c r="Q3058" s="64">
        <v>0</v>
      </c>
      <c r="R3058" s="64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96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4">
        <v>34.99</v>
      </c>
      <c r="P3059" s="64">
        <v>0</v>
      </c>
      <c r="Q3059" s="64">
        <v>0</v>
      </c>
      <c r="R3059" s="64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96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4">
        <v>30</v>
      </c>
      <c r="P3060" s="64">
        <v>0</v>
      </c>
      <c r="Q3060" s="64">
        <v>0</v>
      </c>
      <c r="R3060" s="64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96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4">
        <v>51.48</v>
      </c>
      <c r="P3061" s="64">
        <v>0</v>
      </c>
      <c r="Q3061" s="64">
        <v>0</v>
      </c>
      <c r="R3061" s="64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96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4">
        <v>3500</v>
      </c>
      <c r="P3062" s="64">
        <v>0</v>
      </c>
      <c r="Q3062" s="64">
        <v>0</v>
      </c>
      <c r="R3062" s="64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96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4">
        <v>1.6</v>
      </c>
      <c r="P3063" s="64">
        <v>0</v>
      </c>
      <c r="Q3063" s="64">
        <v>0</v>
      </c>
      <c r="R3063" s="64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96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4">
        <v>17.82</v>
      </c>
      <c r="P3064" s="64">
        <v>0</v>
      </c>
      <c r="Q3064" s="64">
        <v>0</v>
      </c>
      <c r="R3064" s="64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96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4">
        <v>3.13</v>
      </c>
      <c r="P3065" s="64">
        <v>0</v>
      </c>
      <c r="Q3065" s="64">
        <v>0</v>
      </c>
      <c r="R3065" s="64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96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4">
        <v>27.2</v>
      </c>
      <c r="P3066" s="64">
        <v>0</v>
      </c>
      <c r="Q3066" s="64">
        <v>0</v>
      </c>
      <c r="R3066" s="64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96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4">
        <v>7.08</v>
      </c>
      <c r="P3067" s="64">
        <v>0</v>
      </c>
      <c r="Q3067" s="64">
        <v>0</v>
      </c>
      <c r="R3067" s="64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96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4">
        <v>22</v>
      </c>
      <c r="P3068" s="64">
        <v>0</v>
      </c>
      <c r="Q3068" s="64">
        <v>0</v>
      </c>
      <c r="R3068" s="64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96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4">
        <v>253.35</v>
      </c>
      <c r="P3069" s="64">
        <v>0</v>
      </c>
      <c r="Q3069" s="64">
        <v>0</v>
      </c>
      <c r="R3069" s="64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96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4">
        <v>900</v>
      </c>
      <c r="P3070" s="64">
        <v>0</v>
      </c>
      <c r="Q3070" s="64">
        <v>0</v>
      </c>
      <c r="R3070" s="64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96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4">
        <v>266.02</v>
      </c>
      <c r="P3071" s="64">
        <v>0</v>
      </c>
      <c r="Q3071" s="64">
        <v>0</v>
      </c>
      <c r="R3071" s="64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96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4">
        <v>111.57</v>
      </c>
      <c r="P3072" s="64">
        <v>0</v>
      </c>
      <c r="Q3072" s="64">
        <v>0</v>
      </c>
      <c r="R3072" s="64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96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4">
        <v>106.26</v>
      </c>
      <c r="P3073" s="64">
        <v>0</v>
      </c>
      <c r="Q3073" s="64">
        <v>0</v>
      </c>
      <c r="R3073" s="64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96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4">
        <v>611.54</v>
      </c>
      <c r="P3074" s="64">
        <v>0</v>
      </c>
      <c r="Q3074" s="64">
        <v>0</v>
      </c>
      <c r="R3074" s="64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96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4">
        <v>300</v>
      </c>
      <c r="P3075" s="64">
        <v>0</v>
      </c>
      <c r="Q3075" s="64">
        <v>0</v>
      </c>
      <c r="R3075" s="64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96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4">
        <v>1000</v>
      </c>
      <c r="P3076" s="64">
        <v>0</v>
      </c>
      <c r="Q3076" s="64">
        <v>0</v>
      </c>
      <c r="R3076" s="64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96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4">
        <v>45629.1</v>
      </c>
      <c r="P3077" s="64">
        <v>0</v>
      </c>
      <c r="Q3077" s="64">
        <v>0</v>
      </c>
      <c r="R3077" s="64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96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4">
        <v>443</v>
      </c>
      <c r="P3078" s="64">
        <v>0</v>
      </c>
      <c r="Q3078" s="64">
        <v>0</v>
      </c>
      <c r="R3078" s="64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96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4">
        <v>108.97</v>
      </c>
      <c r="P3079" s="64">
        <v>0</v>
      </c>
      <c r="Q3079" s="64">
        <v>0</v>
      </c>
      <c r="R3079" s="64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96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4">
        <v>13.95</v>
      </c>
      <c r="P3080" s="64">
        <v>0</v>
      </c>
      <c r="Q3080" s="64">
        <v>0</v>
      </c>
      <c r="R3080" s="64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96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4">
        <v>150</v>
      </c>
      <c r="P3081" s="64">
        <v>0</v>
      </c>
      <c r="Q3081" s="64">
        <v>0</v>
      </c>
      <c r="R3081" s="64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96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4">
        <v>50558.46</v>
      </c>
      <c r="P3082" s="64">
        <v>0</v>
      </c>
      <c r="Q3082" s="64">
        <v>0</v>
      </c>
      <c r="R3082" s="64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96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4">
        <v>2400</v>
      </c>
      <c r="P3083" s="64">
        <v>0</v>
      </c>
      <c r="Q3083" s="64">
        <v>0</v>
      </c>
      <c r="R3083" s="64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96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4">
        <v>160</v>
      </c>
      <c r="P3084" s="64">
        <v>0</v>
      </c>
      <c r="Q3084" s="64">
        <v>0</v>
      </c>
      <c r="R3084" s="64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96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4">
        <v>20</v>
      </c>
      <c r="P3085" s="64">
        <v>0</v>
      </c>
      <c r="Q3085" s="64">
        <v>0</v>
      </c>
      <c r="R3085" s="64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96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4">
        <v>1.6</v>
      </c>
      <c r="P3086" s="64">
        <v>0</v>
      </c>
      <c r="Q3086" s="64">
        <v>0</v>
      </c>
      <c r="R3086" s="64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96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4">
        <v>114.78</v>
      </c>
      <c r="P3087" s="64">
        <v>0</v>
      </c>
      <c r="Q3087" s="64">
        <v>0</v>
      </c>
      <c r="R3087" s="64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96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4">
        <v>1.77</v>
      </c>
      <c r="P3088" s="64">
        <v>0</v>
      </c>
      <c r="Q3088" s="64">
        <v>0</v>
      </c>
      <c r="R3088" s="64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96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4">
        <v>700</v>
      </c>
      <c r="P3089" s="64">
        <v>0</v>
      </c>
      <c r="Q3089" s="64">
        <v>0</v>
      </c>
      <c r="R3089" s="64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96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4">
        <v>3.4</v>
      </c>
      <c r="P3090" s="64">
        <v>0</v>
      </c>
      <c r="Q3090" s="64">
        <v>0</v>
      </c>
      <c r="R3090" s="64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96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4">
        <v>100</v>
      </c>
      <c r="P3091" s="64">
        <v>0</v>
      </c>
      <c r="Q3091" s="64">
        <v>0</v>
      </c>
      <c r="R3091" s="64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96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4">
        <v>71</v>
      </c>
      <c r="P3092" s="64">
        <v>0</v>
      </c>
      <c r="Q3092" s="64">
        <v>0</v>
      </c>
      <c r="R3092" s="64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96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4">
        <v>350</v>
      </c>
      <c r="P3093" s="64">
        <v>0</v>
      </c>
      <c r="Q3093" s="64">
        <v>0</v>
      </c>
      <c r="R3093" s="64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96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4">
        <v>14.16</v>
      </c>
      <c r="P3094" s="64">
        <v>0</v>
      </c>
      <c r="Q3094" s="64">
        <v>0</v>
      </c>
      <c r="R3094" s="64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96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4">
        <v>60</v>
      </c>
      <c r="P3095" s="64">
        <v>0</v>
      </c>
      <c r="Q3095" s="64">
        <v>0</v>
      </c>
      <c r="R3095" s="64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96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4">
        <v>600</v>
      </c>
      <c r="P3096" s="64">
        <v>0</v>
      </c>
      <c r="Q3096" s="64">
        <v>0</v>
      </c>
      <c r="R3096" s="64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96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4">
        <v>150</v>
      </c>
      <c r="P3097" s="64">
        <v>0</v>
      </c>
      <c r="Q3097" s="64">
        <v>0</v>
      </c>
      <c r="R3097" s="64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96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4">
        <v>3.13</v>
      </c>
      <c r="P3098" s="64">
        <v>0</v>
      </c>
      <c r="Q3098" s="64">
        <v>0</v>
      </c>
      <c r="R3098" s="64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96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4">
        <v>34</v>
      </c>
      <c r="P3099" s="64">
        <v>0</v>
      </c>
      <c r="Q3099" s="64">
        <v>0</v>
      </c>
      <c r="R3099" s="64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96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4">
        <v>136.66999999999999</v>
      </c>
      <c r="P3100" s="64">
        <v>0</v>
      </c>
      <c r="Q3100" s="64">
        <v>0</v>
      </c>
      <c r="R3100" s="64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96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4">
        <v>78.099999999999994</v>
      </c>
      <c r="P3101" s="64">
        <v>0</v>
      </c>
      <c r="Q3101" s="64">
        <v>0</v>
      </c>
      <c r="R3101" s="64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96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4">
        <v>290.95</v>
      </c>
      <c r="P3102" s="64">
        <v>0</v>
      </c>
      <c r="Q3102" s="64">
        <v>0</v>
      </c>
      <c r="R3102" s="64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96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4">
        <v>160599.29999999999</v>
      </c>
      <c r="P3103" s="64">
        <v>0</v>
      </c>
      <c r="Q3103" s="64">
        <v>0</v>
      </c>
      <c r="R3103" s="64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96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4">
        <v>50</v>
      </c>
      <c r="P3104" s="64">
        <v>0</v>
      </c>
      <c r="Q3104" s="64">
        <v>0</v>
      </c>
      <c r="R3104" s="64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96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4">
        <v>50</v>
      </c>
      <c r="P3105" s="64">
        <v>0</v>
      </c>
      <c r="Q3105" s="64">
        <v>0</v>
      </c>
      <c r="R3105" s="64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96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4">
        <v>37</v>
      </c>
      <c r="P3106" s="64">
        <v>0</v>
      </c>
      <c r="Q3106" s="64">
        <v>0</v>
      </c>
      <c r="R3106" s="64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96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4">
        <v>1170</v>
      </c>
      <c r="P3107" s="64">
        <v>0</v>
      </c>
      <c r="Q3107" s="64">
        <v>0</v>
      </c>
      <c r="R3107" s="64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96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4">
        <v>45</v>
      </c>
      <c r="P3108" s="64">
        <v>0</v>
      </c>
      <c r="Q3108" s="64">
        <v>0</v>
      </c>
      <c r="R3108" s="64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96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4">
        <v>7.08</v>
      </c>
      <c r="P3109" s="64">
        <v>0</v>
      </c>
      <c r="Q3109" s="64">
        <v>0</v>
      </c>
      <c r="R3109" s="64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96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4">
        <v>120</v>
      </c>
      <c r="P3110" s="64">
        <v>0</v>
      </c>
      <c r="Q3110" s="64">
        <v>0</v>
      </c>
      <c r="R3110" s="64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96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4">
        <v>1250</v>
      </c>
      <c r="P3111" s="64">
        <v>0</v>
      </c>
      <c r="Q3111" s="64">
        <v>0</v>
      </c>
      <c r="R3111" s="64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96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4">
        <v>9.39</v>
      </c>
      <c r="P3112" s="64">
        <v>0</v>
      </c>
      <c r="Q3112" s="64">
        <v>0</v>
      </c>
      <c r="R3112" s="64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96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4">
        <v>0.04</v>
      </c>
      <c r="P3113" s="64">
        <v>0</v>
      </c>
      <c r="Q3113" s="64">
        <v>0</v>
      </c>
      <c r="R3113" s="64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96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4">
        <v>23.8</v>
      </c>
      <c r="P3114" s="64">
        <v>0</v>
      </c>
      <c r="Q3114" s="64">
        <v>0</v>
      </c>
      <c r="R3114" s="64">
        <v>23.8</v>
      </c>
      <c r="S3114" t="s">
        <v>155</v>
      </c>
    </row>
    <row r="3115" spans="1:19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s="63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s="63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s="63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s="63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s="63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s="63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s="63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s="63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s="6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s="63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s="63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s="63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s="63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s="63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s="63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s="63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s="63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s="63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s="6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s="63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s="63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s="63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s="63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s="63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s="63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s="63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s="63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s">
        <v>17</v>
      </c>
      <c r="G3142" t="s">
        <v>213</v>
      </c>
      <c r="H3142" t="s">
        <v>167</v>
      </c>
      <c r="I3142" t="s">
        <v>151</v>
      </c>
      <c r="J3142" s="63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s="6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s="63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s="63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s="63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s="63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s="63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s="63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s="63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s="63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s="63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s="6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s="63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s="63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s="63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s="63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s="63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s="63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s="63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s="63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s="63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s="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s="63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s="63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s="63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s="63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s="63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s="63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s="63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s="63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s="63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s="6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s="63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s="63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s="63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s="63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s="63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s="63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s="63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s="63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s="63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s">
        <v>17</v>
      </c>
      <c r="G3183" t="s">
        <v>213</v>
      </c>
      <c r="H3183" t="s">
        <v>159</v>
      </c>
      <c r="I3183" t="s">
        <v>151</v>
      </c>
      <c r="J3183" s="6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s="63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s="63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s="63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s="63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s="63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s="63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s="63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s="63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s="63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s="6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s="63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s="63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s="63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s="63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s="63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s="63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s="63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s="63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s="63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s="6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s="63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s="63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s="63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s="63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s="63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s="63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s="63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s="63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s="63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s="6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s="63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s="63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s="63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s="63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s="63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s="63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s="63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s="63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s="63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s="6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s="63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s="63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s="63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s="63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s="63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s="63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s="63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s="63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s="63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s="6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s="63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s="63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s="63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s="63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s="63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s="63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s="63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s="63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s="63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s="6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s="63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s="63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s="63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s="63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s="63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s="63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s="63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s="63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s="63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s="6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s="63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s="63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s="63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s="63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s="63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s="63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s="63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s="63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s="63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s="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s="63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s="63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s="63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s="63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s="63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s="63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s="63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s="63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s="63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s="6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s="63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s="63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s="63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s="63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s="63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s="63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s="63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s="63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s="63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s="6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s="63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s="63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s="63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s="63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s="63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s="63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s="63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s="63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s="63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s="6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s="63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s="63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s="63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s="63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s="63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s="63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s="63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s="63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s="63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s">
        <v>17</v>
      </c>
      <c r="G3303" t="s">
        <v>149</v>
      </c>
      <c r="H3303" t="s">
        <v>150</v>
      </c>
      <c r="I3303" t="s">
        <v>151</v>
      </c>
      <c r="J3303" s="6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s="63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s="63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s="63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s="63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s="63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s="63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s="63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s="63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s="63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s="6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s="63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s="63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s="63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s="63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s="63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s="63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s="63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s="63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s="63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s="6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s="63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s="63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s="63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s="63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s="63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s="63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s="63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s="63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s="63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s="6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s="63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s="63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s="63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s="63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s="63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s="63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s="63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s="63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s="63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s="6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s="63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s="63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s="63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s="63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s="63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s="63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s="63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s="63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s="63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s="6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s="63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  <row r="3355" spans="1:19" x14ac:dyDescent="0.3">
      <c r="A3355" t="s">
        <v>5374</v>
      </c>
      <c r="B3355" t="s">
        <v>147</v>
      </c>
      <c r="C3355" t="s">
        <v>147</v>
      </c>
      <c r="D3355" t="s">
        <v>734</v>
      </c>
      <c r="E3355" t="s">
        <v>21</v>
      </c>
      <c r="F3355" t="s">
        <v>17</v>
      </c>
      <c r="G3355" t="s">
        <v>213</v>
      </c>
      <c r="H3355" t="s">
        <v>167</v>
      </c>
      <c r="I3355" t="s">
        <v>151</v>
      </c>
      <c r="J3355" s="96">
        <v>46113</v>
      </c>
      <c r="K3355" s="6">
        <v>46113</v>
      </c>
      <c r="L3355" s="6" t="s">
        <v>4</v>
      </c>
      <c r="M3355" t="s">
        <v>153</v>
      </c>
      <c r="N3355" t="s">
        <v>154</v>
      </c>
      <c r="O3355" s="64">
        <v>2820</v>
      </c>
      <c r="P3355" s="64">
        <v>0</v>
      </c>
      <c r="Q3355" s="64">
        <v>0</v>
      </c>
      <c r="R3355" s="64">
        <v>2820</v>
      </c>
      <c r="S3355" t="s">
        <v>155</v>
      </c>
    </row>
    <row r="3356" spans="1:19" x14ac:dyDescent="0.3">
      <c r="A3356" t="s">
        <v>5375</v>
      </c>
      <c r="B3356" t="s">
        <v>147</v>
      </c>
      <c r="C3356" t="s">
        <v>147</v>
      </c>
      <c r="D3356" t="s">
        <v>2023</v>
      </c>
      <c r="E3356" t="s">
        <v>72</v>
      </c>
      <c r="F3356" t="s">
        <v>17</v>
      </c>
      <c r="G3356" t="s">
        <v>158</v>
      </c>
      <c r="H3356" t="s">
        <v>159</v>
      </c>
      <c r="I3356" t="s">
        <v>151</v>
      </c>
      <c r="J3356" s="96">
        <v>46113</v>
      </c>
      <c r="K3356" s="6">
        <v>46113</v>
      </c>
      <c r="L3356" s="6" t="s">
        <v>4</v>
      </c>
      <c r="M3356" t="s">
        <v>153</v>
      </c>
      <c r="N3356" t="s">
        <v>154</v>
      </c>
      <c r="O3356" s="64">
        <v>750</v>
      </c>
      <c r="P3356" s="64">
        <v>0</v>
      </c>
      <c r="Q3356" s="64">
        <v>0</v>
      </c>
      <c r="R3356" s="64">
        <v>750</v>
      </c>
      <c r="S3356" t="s">
        <v>155</v>
      </c>
    </row>
    <row r="3357" spans="1:19" x14ac:dyDescent="0.3">
      <c r="A3357" t="s">
        <v>5376</v>
      </c>
      <c r="B3357" t="s">
        <v>147</v>
      </c>
      <c r="C3357" t="s">
        <v>147</v>
      </c>
      <c r="D3357" t="s">
        <v>2338</v>
      </c>
      <c r="E3357" t="s">
        <v>44</v>
      </c>
      <c r="F3357" t="s">
        <v>115</v>
      </c>
      <c r="G3357" t="s">
        <v>158</v>
      </c>
      <c r="H3357" t="s">
        <v>159</v>
      </c>
      <c r="I3357" t="s">
        <v>151</v>
      </c>
      <c r="J3357" s="96">
        <v>46113</v>
      </c>
      <c r="K3357" s="6">
        <v>46113</v>
      </c>
      <c r="L3357" s="6" t="s">
        <v>4</v>
      </c>
      <c r="M3357" t="s">
        <v>153</v>
      </c>
      <c r="N3357" t="s">
        <v>154</v>
      </c>
      <c r="O3357" s="64">
        <v>3000</v>
      </c>
      <c r="P3357" s="64">
        <v>0</v>
      </c>
      <c r="Q3357" s="64">
        <v>0</v>
      </c>
      <c r="R3357" s="64">
        <v>3000</v>
      </c>
      <c r="S3357" t="s">
        <v>155</v>
      </c>
    </row>
    <row r="3358" spans="1:19" x14ac:dyDescent="0.3">
      <c r="A3358" t="s">
        <v>5377</v>
      </c>
      <c r="B3358" t="s">
        <v>147</v>
      </c>
      <c r="C3358" t="s">
        <v>147</v>
      </c>
      <c r="D3358" t="s">
        <v>2341</v>
      </c>
      <c r="E3358" t="s">
        <v>44</v>
      </c>
      <c r="F3358" t="s">
        <v>115</v>
      </c>
      <c r="G3358" t="s">
        <v>158</v>
      </c>
      <c r="H3358" t="s">
        <v>159</v>
      </c>
      <c r="I3358" t="s">
        <v>151</v>
      </c>
      <c r="J3358" s="96">
        <v>46113</v>
      </c>
      <c r="K3358" s="6">
        <v>46113</v>
      </c>
      <c r="L3358" s="6" t="s">
        <v>4</v>
      </c>
      <c r="M3358" t="s">
        <v>153</v>
      </c>
      <c r="N3358" t="s">
        <v>154</v>
      </c>
      <c r="O3358" s="64">
        <v>2700</v>
      </c>
      <c r="P3358" s="64">
        <v>0</v>
      </c>
      <c r="Q3358" s="64">
        <v>0</v>
      </c>
      <c r="R3358" s="64">
        <v>2700</v>
      </c>
      <c r="S3358" t="s">
        <v>155</v>
      </c>
    </row>
    <row r="3359" spans="1:19" x14ac:dyDescent="0.3">
      <c r="A3359" t="s">
        <v>5378</v>
      </c>
      <c r="B3359" t="s">
        <v>147</v>
      </c>
      <c r="C3359" t="s">
        <v>147</v>
      </c>
      <c r="D3359" t="s">
        <v>2382</v>
      </c>
      <c r="E3359" t="s">
        <v>44</v>
      </c>
      <c r="F3359" t="s">
        <v>115</v>
      </c>
      <c r="G3359" t="s">
        <v>158</v>
      </c>
      <c r="H3359" t="s">
        <v>159</v>
      </c>
      <c r="I3359" t="s">
        <v>151</v>
      </c>
      <c r="J3359" s="96">
        <v>46113</v>
      </c>
      <c r="K3359" s="6">
        <v>46113</v>
      </c>
      <c r="L3359" s="6" t="s">
        <v>4</v>
      </c>
      <c r="M3359" t="s">
        <v>153</v>
      </c>
      <c r="N3359" t="s">
        <v>154</v>
      </c>
      <c r="O3359" s="64">
        <v>3200</v>
      </c>
      <c r="P3359" s="64">
        <v>0</v>
      </c>
      <c r="Q3359" s="64">
        <v>0</v>
      </c>
      <c r="R3359" s="64">
        <v>3200</v>
      </c>
      <c r="S3359" t="s">
        <v>155</v>
      </c>
    </row>
    <row r="3360" spans="1:19" x14ac:dyDescent="0.3">
      <c r="A3360" t="s">
        <v>5379</v>
      </c>
      <c r="B3360" t="s">
        <v>147</v>
      </c>
      <c r="C3360" t="s">
        <v>147</v>
      </c>
      <c r="D3360" t="s">
        <v>5380</v>
      </c>
      <c r="E3360" t="s">
        <v>44</v>
      </c>
      <c r="F3360" t="s">
        <v>115</v>
      </c>
      <c r="G3360" t="s">
        <v>158</v>
      </c>
      <c r="H3360" t="s">
        <v>159</v>
      </c>
      <c r="I3360" t="s">
        <v>151</v>
      </c>
      <c r="J3360" s="96">
        <v>46113</v>
      </c>
      <c r="K3360" s="6">
        <v>46113</v>
      </c>
      <c r="L3360" s="6" t="s">
        <v>4</v>
      </c>
      <c r="M3360" t="s">
        <v>153</v>
      </c>
      <c r="N3360" t="s">
        <v>154</v>
      </c>
      <c r="O3360" s="64">
        <v>300</v>
      </c>
      <c r="P3360" s="64">
        <v>0</v>
      </c>
      <c r="Q3360" s="64">
        <v>0</v>
      </c>
      <c r="R3360" s="64">
        <v>300</v>
      </c>
      <c r="S3360" t="s">
        <v>155</v>
      </c>
    </row>
    <row r="3361" spans="1:19" x14ac:dyDescent="0.3">
      <c r="A3361" t="s">
        <v>5381</v>
      </c>
      <c r="B3361" t="s">
        <v>147</v>
      </c>
      <c r="C3361" t="s">
        <v>147</v>
      </c>
      <c r="D3361" t="s">
        <v>5044</v>
      </c>
      <c r="E3361" t="s">
        <v>44</v>
      </c>
      <c r="F3361" t="s">
        <v>115</v>
      </c>
      <c r="G3361" t="s">
        <v>166</v>
      </c>
      <c r="H3361" t="s">
        <v>167</v>
      </c>
      <c r="I3361" t="s">
        <v>151</v>
      </c>
      <c r="J3361" s="96">
        <v>46113</v>
      </c>
      <c r="K3361" s="6">
        <v>46113</v>
      </c>
      <c r="L3361" s="6" t="s">
        <v>4</v>
      </c>
      <c r="M3361" t="s">
        <v>153</v>
      </c>
      <c r="N3361" t="s">
        <v>154</v>
      </c>
      <c r="O3361" s="64">
        <v>2200</v>
      </c>
      <c r="P3361" s="64">
        <v>0</v>
      </c>
      <c r="Q3361" s="64">
        <v>0</v>
      </c>
      <c r="R3361" s="64">
        <v>2200</v>
      </c>
      <c r="S3361" t="s">
        <v>155</v>
      </c>
    </row>
    <row r="3362" spans="1:19" x14ac:dyDescent="0.3">
      <c r="A3362" t="s">
        <v>5382</v>
      </c>
      <c r="B3362" t="s">
        <v>147</v>
      </c>
      <c r="C3362" t="s">
        <v>147</v>
      </c>
      <c r="D3362" t="s">
        <v>2399</v>
      </c>
      <c r="E3362" t="s">
        <v>44</v>
      </c>
      <c r="F3362" t="s">
        <v>115</v>
      </c>
      <c r="G3362" t="s">
        <v>158</v>
      </c>
      <c r="H3362" t="s">
        <v>159</v>
      </c>
      <c r="I3362" t="s">
        <v>151</v>
      </c>
      <c r="J3362" s="96">
        <v>46113</v>
      </c>
      <c r="K3362" s="6">
        <v>46113</v>
      </c>
      <c r="L3362" s="6" t="s">
        <v>4</v>
      </c>
      <c r="M3362" t="s">
        <v>153</v>
      </c>
      <c r="N3362" t="s">
        <v>154</v>
      </c>
      <c r="O3362" s="64">
        <v>2300</v>
      </c>
      <c r="P3362" s="64">
        <v>0</v>
      </c>
      <c r="Q3362" s="64">
        <v>0</v>
      </c>
      <c r="R3362" s="64">
        <v>2300</v>
      </c>
      <c r="S3362" t="s">
        <v>155</v>
      </c>
    </row>
    <row r="3363" spans="1:19" x14ac:dyDescent="0.3">
      <c r="A3363" t="s">
        <v>5383</v>
      </c>
      <c r="B3363" t="s">
        <v>147</v>
      </c>
      <c r="C3363" t="s">
        <v>147</v>
      </c>
      <c r="D3363" t="s">
        <v>5384</v>
      </c>
      <c r="E3363" t="s">
        <v>44</v>
      </c>
      <c r="F3363" t="s">
        <v>115</v>
      </c>
      <c r="G3363" t="s">
        <v>158</v>
      </c>
      <c r="H3363" t="s">
        <v>159</v>
      </c>
      <c r="I3363" t="s">
        <v>151</v>
      </c>
      <c r="J3363" s="96">
        <v>46113</v>
      </c>
      <c r="K3363" s="6">
        <v>46113</v>
      </c>
      <c r="L3363" s="6" t="s">
        <v>4</v>
      </c>
      <c r="M3363" t="s">
        <v>153</v>
      </c>
      <c r="N3363" t="s">
        <v>154</v>
      </c>
      <c r="O3363" s="64">
        <v>1500</v>
      </c>
      <c r="P3363" s="64">
        <v>0</v>
      </c>
      <c r="Q3363" s="64">
        <v>0</v>
      </c>
      <c r="R3363" s="64">
        <v>1500</v>
      </c>
      <c r="S3363" t="s">
        <v>155</v>
      </c>
    </row>
    <row r="3364" spans="1:19" x14ac:dyDescent="0.3">
      <c r="A3364" t="s">
        <v>5385</v>
      </c>
      <c r="B3364" t="s">
        <v>147</v>
      </c>
      <c r="C3364" t="s">
        <v>147</v>
      </c>
      <c r="D3364" t="s">
        <v>5386</v>
      </c>
      <c r="E3364" t="s">
        <v>44</v>
      </c>
      <c r="F3364" t="s">
        <v>115</v>
      </c>
      <c r="G3364" t="s">
        <v>158</v>
      </c>
      <c r="H3364" t="s">
        <v>159</v>
      </c>
      <c r="I3364" t="s">
        <v>151</v>
      </c>
      <c r="J3364" s="96">
        <v>46113</v>
      </c>
      <c r="K3364" s="6">
        <v>46113</v>
      </c>
      <c r="L3364" s="6" t="s">
        <v>4</v>
      </c>
      <c r="M3364" t="s">
        <v>153</v>
      </c>
      <c r="N3364" t="s">
        <v>154</v>
      </c>
      <c r="O3364" s="64">
        <v>500</v>
      </c>
      <c r="P3364" s="64">
        <v>0</v>
      </c>
      <c r="Q3364" s="64">
        <v>0</v>
      </c>
      <c r="R3364" s="64">
        <v>500</v>
      </c>
      <c r="S3364" t="s">
        <v>155</v>
      </c>
    </row>
    <row r="3365" spans="1:19" x14ac:dyDescent="0.3">
      <c r="A3365" t="s">
        <v>5387</v>
      </c>
      <c r="B3365" t="s">
        <v>147</v>
      </c>
      <c r="C3365" t="s">
        <v>147</v>
      </c>
      <c r="D3365" t="s">
        <v>4630</v>
      </c>
      <c r="E3365" t="s">
        <v>3559</v>
      </c>
      <c r="F3365" t="s">
        <v>17</v>
      </c>
      <c r="G3365" t="s">
        <v>158</v>
      </c>
      <c r="H3365" t="s">
        <v>159</v>
      </c>
      <c r="I3365" t="s">
        <v>151</v>
      </c>
      <c r="J3365" s="96">
        <v>46113</v>
      </c>
      <c r="K3365" s="6">
        <v>46113</v>
      </c>
      <c r="L3365" s="6" t="s">
        <v>4</v>
      </c>
      <c r="M3365" t="s">
        <v>153</v>
      </c>
      <c r="N3365" t="s">
        <v>154</v>
      </c>
      <c r="O3365" s="64">
        <v>70</v>
      </c>
      <c r="P3365" s="64">
        <v>0</v>
      </c>
      <c r="Q3365" s="64">
        <v>0</v>
      </c>
      <c r="R3365" s="64">
        <v>70</v>
      </c>
      <c r="S3365" t="s">
        <v>155</v>
      </c>
    </row>
    <row r="3366" spans="1:19" x14ac:dyDescent="0.3">
      <c r="A3366" t="s">
        <v>5388</v>
      </c>
      <c r="B3366" t="s">
        <v>147</v>
      </c>
      <c r="C3366" t="s">
        <v>147</v>
      </c>
      <c r="D3366" t="s">
        <v>5389</v>
      </c>
      <c r="E3366" t="s">
        <v>37</v>
      </c>
      <c r="F3366" t="s">
        <v>115</v>
      </c>
      <c r="G3366" t="s">
        <v>149</v>
      </c>
      <c r="H3366" t="s">
        <v>150</v>
      </c>
      <c r="I3366" t="s">
        <v>151</v>
      </c>
      <c r="J3366" s="96">
        <v>46113</v>
      </c>
      <c r="K3366" s="6">
        <v>46113</v>
      </c>
      <c r="L3366" s="6" t="s">
        <v>4</v>
      </c>
      <c r="M3366" t="s">
        <v>153</v>
      </c>
      <c r="N3366" t="s">
        <v>154</v>
      </c>
      <c r="O3366" s="64">
        <v>115</v>
      </c>
      <c r="P3366" s="64">
        <v>0</v>
      </c>
      <c r="Q3366" s="64">
        <v>0</v>
      </c>
      <c r="R3366" s="64">
        <v>115</v>
      </c>
      <c r="S3366" t="s">
        <v>155</v>
      </c>
    </row>
    <row r="3367" spans="1:19" x14ac:dyDescent="0.3">
      <c r="A3367" t="s">
        <v>5390</v>
      </c>
      <c r="B3367" t="s">
        <v>147</v>
      </c>
      <c r="C3367" t="s">
        <v>147</v>
      </c>
      <c r="D3367" t="s">
        <v>5391</v>
      </c>
      <c r="E3367" t="s">
        <v>44</v>
      </c>
      <c r="F3367" t="s">
        <v>115</v>
      </c>
      <c r="G3367" t="s">
        <v>166</v>
      </c>
      <c r="H3367" t="s">
        <v>167</v>
      </c>
      <c r="I3367" t="s">
        <v>151</v>
      </c>
      <c r="J3367" s="96">
        <v>46113</v>
      </c>
      <c r="K3367" s="6">
        <v>46113</v>
      </c>
      <c r="L3367" s="6" t="s">
        <v>4</v>
      </c>
      <c r="M3367" t="s">
        <v>153</v>
      </c>
      <c r="N3367" t="s">
        <v>154</v>
      </c>
      <c r="O3367" s="64">
        <v>2000</v>
      </c>
      <c r="P3367" s="64">
        <v>0</v>
      </c>
      <c r="Q3367" s="64">
        <v>0</v>
      </c>
      <c r="R3367" s="64">
        <v>2000</v>
      </c>
      <c r="S3367" t="s">
        <v>155</v>
      </c>
    </row>
    <row r="3368" spans="1:19" x14ac:dyDescent="0.3">
      <c r="A3368" t="s">
        <v>5392</v>
      </c>
      <c r="B3368" t="s">
        <v>147</v>
      </c>
      <c r="C3368" t="s">
        <v>147</v>
      </c>
      <c r="D3368" t="s">
        <v>5393</v>
      </c>
      <c r="E3368" t="s">
        <v>44</v>
      </c>
      <c r="F3368" t="s">
        <v>115</v>
      </c>
      <c r="G3368" t="s">
        <v>166</v>
      </c>
      <c r="H3368" t="s">
        <v>167</v>
      </c>
      <c r="I3368" t="s">
        <v>151</v>
      </c>
      <c r="J3368" s="96">
        <v>46113</v>
      </c>
      <c r="K3368" s="6">
        <v>46113</v>
      </c>
      <c r="L3368" s="6" t="s">
        <v>4</v>
      </c>
      <c r="M3368" t="s">
        <v>153</v>
      </c>
      <c r="N3368" t="s">
        <v>154</v>
      </c>
      <c r="O3368" s="64">
        <v>1700</v>
      </c>
      <c r="P3368" s="64">
        <v>0</v>
      </c>
      <c r="Q3368" s="64">
        <v>0</v>
      </c>
      <c r="R3368" s="64">
        <v>1700</v>
      </c>
      <c r="S3368" t="s">
        <v>155</v>
      </c>
    </row>
    <row r="3369" spans="1:19" x14ac:dyDescent="0.3">
      <c r="A3369" t="s">
        <v>5394</v>
      </c>
      <c r="B3369" t="s">
        <v>147</v>
      </c>
      <c r="C3369" t="s">
        <v>147</v>
      </c>
      <c r="D3369" t="s">
        <v>5395</v>
      </c>
      <c r="E3369" t="s">
        <v>26</v>
      </c>
      <c r="F3369" t="s">
        <v>127</v>
      </c>
      <c r="G3369" t="s">
        <v>783</v>
      </c>
      <c r="H3369" t="s">
        <v>167</v>
      </c>
      <c r="I3369" t="s">
        <v>151</v>
      </c>
      <c r="J3369" s="96">
        <v>46113</v>
      </c>
      <c r="K3369" s="6">
        <v>46113</v>
      </c>
      <c r="L3369" s="6" t="s">
        <v>4</v>
      </c>
      <c r="M3369" t="s">
        <v>153</v>
      </c>
      <c r="N3369" t="s">
        <v>154</v>
      </c>
      <c r="O3369" s="64">
        <v>200000</v>
      </c>
      <c r="P3369" s="64">
        <v>0</v>
      </c>
      <c r="Q3369" s="64">
        <v>0</v>
      </c>
      <c r="R3369" s="64">
        <v>200000</v>
      </c>
      <c r="S3369" t="s">
        <v>155</v>
      </c>
    </row>
    <row r="3370" spans="1:19" x14ac:dyDescent="0.3">
      <c r="A3370" t="s">
        <v>5396</v>
      </c>
      <c r="B3370" t="s">
        <v>147</v>
      </c>
      <c r="C3370" t="s">
        <v>147</v>
      </c>
      <c r="D3370" t="s">
        <v>4958</v>
      </c>
      <c r="E3370" t="s">
        <v>77</v>
      </c>
      <c r="F3370" t="s">
        <v>17</v>
      </c>
      <c r="G3370" t="s">
        <v>158</v>
      </c>
      <c r="H3370" t="s">
        <v>159</v>
      </c>
      <c r="I3370" t="s">
        <v>151</v>
      </c>
      <c r="J3370" s="96">
        <v>46113</v>
      </c>
      <c r="K3370" s="6">
        <v>46113</v>
      </c>
      <c r="L3370" s="6" t="s">
        <v>4</v>
      </c>
      <c r="M3370" t="s">
        <v>153</v>
      </c>
      <c r="N3370" t="s">
        <v>154</v>
      </c>
      <c r="O3370" s="64">
        <v>240</v>
      </c>
      <c r="P3370" s="64">
        <v>0</v>
      </c>
      <c r="Q3370" s="64">
        <v>0</v>
      </c>
      <c r="R3370" s="64">
        <v>240</v>
      </c>
      <c r="S3370" t="s">
        <v>155</v>
      </c>
    </row>
    <row r="3371" spans="1:19" x14ac:dyDescent="0.3">
      <c r="A3371" t="s">
        <v>5397</v>
      </c>
      <c r="B3371" t="s">
        <v>147</v>
      </c>
      <c r="C3371" t="s">
        <v>147</v>
      </c>
      <c r="D3371" t="s">
        <v>1114</v>
      </c>
      <c r="E3371" t="s">
        <v>30</v>
      </c>
      <c r="F3371" t="s">
        <v>17</v>
      </c>
      <c r="G3371" t="s">
        <v>158</v>
      </c>
      <c r="H3371" t="s">
        <v>159</v>
      </c>
      <c r="I3371" t="s">
        <v>151</v>
      </c>
      <c r="J3371" s="96">
        <v>46113</v>
      </c>
      <c r="K3371" s="6">
        <v>46113</v>
      </c>
      <c r="L3371" s="6" t="s">
        <v>4</v>
      </c>
      <c r="M3371" t="s">
        <v>153</v>
      </c>
      <c r="N3371" t="s">
        <v>154</v>
      </c>
      <c r="O3371" s="64">
        <v>100</v>
      </c>
      <c r="P3371" s="64">
        <v>0</v>
      </c>
      <c r="Q3371" s="64">
        <v>0</v>
      </c>
      <c r="R3371" s="64">
        <v>100</v>
      </c>
      <c r="S3371" t="s">
        <v>155</v>
      </c>
    </row>
    <row r="3372" spans="1:19" x14ac:dyDescent="0.3">
      <c r="A3372" t="s">
        <v>5398</v>
      </c>
      <c r="B3372" t="s">
        <v>147</v>
      </c>
      <c r="C3372" t="s">
        <v>147</v>
      </c>
      <c r="D3372" t="s">
        <v>5399</v>
      </c>
      <c r="E3372" t="s">
        <v>104</v>
      </c>
      <c r="F3372" t="s">
        <v>115</v>
      </c>
      <c r="G3372" t="s">
        <v>149</v>
      </c>
      <c r="H3372" t="s">
        <v>150</v>
      </c>
      <c r="I3372" t="s">
        <v>151</v>
      </c>
      <c r="J3372" s="96">
        <v>46113</v>
      </c>
      <c r="K3372" s="6">
        <v>46113</v>
      </c>
      <c r="L3372" s="6" t="s">
        <v>4</v>
      </c>
      <c r="M3372" t="s">
        <v>153</v>
      </c>
      <c r="N3372" t="s">
        <v>154</v>
      </c>
      <c r="O3372" s="64">
        <v>491.4</v>
      </c>
      <c r="P3372" s="64">
        <v>0</v>
      </c>
      <c r="Q3372" s="64">
        <v>0</v>
      </c>
      <c r="R3372" s="64">
        <v>491.4</v>
      </c>
      <c r="S3372" t="s">
        <v>155</v>
      </c>
    </row>
    <row r="3373" spans="1:19" x14ac:dyDescent="0.3">
      <c r="A3373" t="s">
        <v>5400</v>
      </c>
      <c r="B3373" t="s">
        <v>147</v>
      </c>
      <c r="C3373" t="s">
        <v>147</v>
      </c>
      <c r="D3373" t="s">
        <v>5401</v>
      </c>
      <c r="E3373" t="s">
        <v>104</v>
      </c>
      <c r="F3373" t="s">
        <v>115</v>
      </c>
      <c r="G3373" t="s">
        <v>149</v>
      </c>
      <c r="H3373" t="s">
        <v>150</v>
      </c>
      <c r="I3373" t="s">
        <v>151</v>
      </c>
      <c r="J3373" s="96">
        <v>46113</v>
      </c>
      <c r="K3373" s="6">
        <v>46113</v>
      </c>
      <c r="L3373" s="6" t="s">
        <v>4</v>
      </c>
      <c r="M3373" t="s">
        <v>153</v>
      </c>
      <c r="N3373" t="s">
        <v>154</v>
      </c>
      <c r="O3373" s="64">
        <v>756</v>
      </c>
      <c r="P3373" s="64">
        <v>0</v>
      </c>
      <c r="Q3373" s="64">
        <v>0</v>
      </c>
      <c r="R3373" s="64">
        <v>756</v>
      </c>
      <c r="S3373" t="s">
        <v>155</v>
      </c>
    </row>
    <row r="3374" spans="1:19" x14ac:dyDescent="0.3">
      <c r="A3374" t="s">
        <v>5402</v>
      </c>
      <c r="B3374" t="s">
        <v>147</v>
      </c>
      <c r="C3374" t="s">
        <v>147</v>
      </c>
      <c r="D3374" t="s">
        <v>5403</v>
      </c>
      <c r="E3374" t="s">
        <v>104</v>
      </c>
      <c r="F3374" t="s">
        <v>115</v>
      </c>
      <c r="G3374" t="s">
        <v>149</v>
      </c>
      <c r="H3374" t="s">
        <v>150</v>
      </c>
      <c r="I3374" t="s">
        <v>151</v>
      </c>
      <c r="J3374" s="96">
        <v>46113</v>
      </c>
      <c r="K3374" s="6">
        <v>46113</v>
      </c>
      <c r="L3374" s="6" t="s">
        <v>4</v>
      </c>
      <c r="M3374" t="s">
        <v>153</v>
      </c>
      <c r="N3374" t="s">
        <v>154</v>
      </c>
      <c r="O3374" s="64">
        <v>756</v>
      </c>
      <c r="P3374" s="64">
        <v>0</v>
      </c>
      <c r="Q3374" s="64">
        <v>0</v>
      </c>
      <c r="R3374" s="64">
        <v>756</v>
      </c>
      <c r="S3374" t="s">
        <v>155</v>
      </c>
    </row>
    <row r="3375" spans="1:19" x14ac:dyDescent="0.3">
      <c r="A3375" t="s">
        <v>5404</v>
      </c>
      <c r="B3375" t="s">
        <v>147</v>
      </c>
      <c r="C3375" t="s">
        <v>147</v>
      </c>
      <c r="D3375" t="s">
        <v>5405</v>
      </c>
      <c r="E3375" t="s">
        <v>104</v>
      </c>
      <c r="F3375" t="s">
        <v>115</v>
      </c>
      <c r="G3375" t="s">
        <v>149</v>
      </c>
      <c r="H3375" t="s">
        <v>150</v>
      </c>
      <c r="I3375" t="s">
        <v>151</v>
      </c>
      <c r="J3375" s="96">
        <v>46113</v>
      </c>
      <c r="K3375" s="6">
        <v>46113</v>
      </c>
      <c r="L3375" s="6" t="s">
        <v>4</v>
      </c>
      <c r="M3375" t="s">
        <v>153</v>
      </c>
      <c r="N3375" t="s">
        <v>154</v>
      </c>
      <c r="O3375" s="64">
        <v>120</v>
      </c>
      <c r="P3375" s="64">
        <v>0</v>
      </c>
      <c r="Q3375" s="64">
        <v>0</v>
      </c>
      <c r="R3375" s="64">
        <v>120</v>
      </c>
      <c r="S3375" t="s">
        <v>155</v>
      </c>
    </row>
    <row r="3376" spans="1:19" x14ac:dyDescent="0.3">
      <c r="A3376" t="s">
        <v>5406</v>
      </c>
      <c r="B3376" t="s">
        <v>147</v>
      </c>
      <c r="C3376" t="s">
        <v>147</v>
      </c>
      <c r="D3376" t="s">
        <v>449</v>
      </c>
      <c r="E3376" t="s">
        <v>18</v>
      </c>
      <c r="F3376" t="s">
        <v>115</v>
      </c>
      <c r="G3376" t="s">
        <v>158</v>
      </c>
      <c r="H3376" t="s">
        <v>159</v>
      </c>
      <c r="I3376" t="s">
        <v>151</v>
      </c>
      <c r="J3376" s="96">
        <v>46113</v>
      </c>
      <c r="K3376" s="6">
        <v>46113</v>
      </c>
      <c r="L3376" s="6" t="s">
        <v>4</v>
      </c>
      <c r="M3376" t="s">
        <v>153</v>
      </c>
      <c r="N3376" t="s">
        <v>154</v>
      </c>
      <c r="O3376" s="64">
        <v>73</v>
      </c>
      <c r="P3376" s="64">
        <v>0</v>
      </c>
      <c r="Q3376" s="64">
        <v>0</v>
      </c>
      <c r="R3376" s="64">
        <v>73</v>
      </c>
      <c r="S3376" t="s">
        <v>155</v>
      </c>
    </row>
    <row r="3377" spans="1:19" x14ac:dyDescent="0.3">
      <c r="A3377" t="s">
        <v>5407</v>
      </c>
      <c r="B3377" t="s">
        <v>147</v>
      </c>
      <c r="C3377" t="s">
        <v>147</v>
      </c>
      <c r="D3377" t="s">
        <v>4630</v>
      </c>
      <c r="E3377" t="s">
        <v>3559</v>
      </c>
      <c r="F3377" t="s">
        <v>17</v>
      </c>
      <c r="G3377" t="s">
        <v>158</v>
      </c>
      <c r="H3377" t="s">
        <v>159</v>
      </c>
      <c r="I3377" t="s">
        <v>151</v>
      </c>
      <c r="J3377" s="96">
        <v>46113</v>
      </c>
      <c r="K3377" s="6">
        <v>46113</v>
      </c>
      <c r="L3377" s="6" t="s">
        <v>4</v>
      </c>
      <c r="M3377" t="s">
        <v>153</v>
      </c>
      <c r="N3377" t="s">
        <v>154</v>
      </c>
      <c r="O3377" s="64">
        <v>50</v>
      </c>
      <c r="P3377" s="64">
        <v>0</v>
      </c>
      <c r="Q3377" s="64">
        <v>0</v>
      </c>
      <c r="R3377" s="64">
        <v>50</v>
      </c>
      <c r="S3377" t="s">
        <v>155</v>
      </c>
    </row>
    <row r="3378" spans="1:19" x14ac:dyDescent="0.3">
      <c r="A3378" t="s">
        <v>5408</v>
      </c>
      <c r="B3378" t="s">
        <v>147</v>
      </c>
      <c r="C3378" t="s">
        <v>147</v>
      </c>
      <c r="D3378" t="s">
        <v>2760</v>
      </c>
      <c r="E3378" t="s">
        <v>46</v>
      </c>
      <c r="F3378" t="s">
        <v>29</v>
      </c>
      <c r="G3378" t="s">
        <v>177</v>
      </c>
      <c r="H3378" t="s">
        <v>167</v>
      </c>
      <c r="I3378" t="s">
        <v>151</v>
      </c>
      <c r="J3378" s="96">
        <v>46113</v>
      </c>
      <c r="K3378" s="6">
        <v>46113</v>
      </c>
      <c r="L3378" s="6" t="s">
        <v>4</v>
      </c>
      <c r="M3378" t="s">
        <v>153</v>
      </c>
      <c r="N3378" t="s">
        <v>154</v>
      </c>
      <c r="O3378" s="64">
        <v>5.94</v>
      </c>
      <c r="P3378" s="64">
        <v>0</v>
      </c>
      <c r="Q3378" s="64">
        <v>0</v>
      </c>
      <c r="R3378" s="64">
        <v>5.94</v>
      </c>
      <c r="S3378" t="s">
        <v>155</v>
      </c>
    </row>
    <row r="3379" spans="1:19" x14ac:dyDescent="0.3">
      <c r="A3379" t="s">
        <v>5409</v>
      </c>
      <c r="B3379" t="s">
        <v>147</v>
      </c>
      <c r="C3379" t="s">
        <v>147</v>
      </c>
      <c r="D3379" t="s">
        <v>4079</v>
      </c>
      <c r="E3379" t="s">
        <v>85</v>
      </c>
      <c r="F3379" t="s">
        <v>17</v>
      </c>
      <c r="G3379" t="s">
        <v>213</v>
      </c>
      <c r="H3379" t="s">
        <v>159</v>
      </c>
      <c r="I3379" t="s">
        <v>151</v>
      </c>
      <c r="J3379" s="96">
        <v>46114</v>
      </c>
      <c r="K3379" s="6">
        <v>46114</v>
      </c>
      <c r="L3379" s="6" t="s">
        <v>4</v>
      </c>
      <c r="M3379" t="s">
        <v>153</v>
      </c>
      <c r="N3379" t="s">
        <v>154</v>
      </c>
      <c r="O3379" s="64">
        <v>801.14</v>
      </c>
      <c r="P3379" s="64">
        <v>0</v>
      </c>
      <c r="Q3379" s="64">
        <v>0</v>
      </c>
      <c r="R3379" s="64">
        <v>801.14</v>
      </c>
      <c r="S3379" t="s">
        <v>155</v>
      </c>
    </row>
    <row r="3380" spans="1:19" x14ac:dyDescent="0.3">
      <c r="A3380" t="s">
        <v>5410</v>
      </c>
      <c r="B3380" t="s">
        <v>147</v>
      </c>
      <c r="C3380" t="s">
        <v>147</v>
      </c>
      <c r="D3380" t="s">
        <v>5411</v>
      </c>
      <c r="E3380" t="s">
        <v>82</v>
      </c>
      <c r="F3380" t="s">
        <v>17</v>
      </c>
      <c r="G3380" t="s">
        <v>158</v>
      </c>
      <c r="H3380" t="s">
        <v>159</v>
      </c>
      <c r="I3380" t="s">
        <v>151</v>
      </c>
      <c r="J3380" s="96">
        <v>46114</v>
      </c>
      <c r="K3380" s="6">
        <v>46114</v>
      </c>
      <c r="L3380" s="6" t="s">
        <v>4</v>
      </c>
      <c r="M3380" t="s">
        <v>153</v>
      </c>
      <c r="N3380" t="s">
        <v>154</v>
      </c>
      <c r="O3380" s="64">
        <v>750</v>
      </c>
      <c r="P3380" s="64">
        <v>0</v>
      </c>
      <c r="Q3380" s="64">
        <v>0</v>
      </c>
      <c r="R3380" s="64">
        <v>750</v>
      </c>
      <c r="S3380" t="s">
        <v>155</v>
      </c>
    </row>
    <row r="3381" spans="1:19" x14ac:dyDescent="0.3">
      <c r="A3381" t="s">
        <v>5412</v>
      </c>
      <c r="B3381" t="s">
        <v>147</v>
      </c>
      <c r="C3381" t="s">
        <v>147</v>
      </c>
      <c r="D3381" t="s">
        <v>449</v>
      </c>
      <c r="E3381" t="s">
        <v>18</v>
      </c>
      <c r="F3381" t="s">
        <v>115</v>
      </c>
      <c r="G3381" t="s">
        <v>158</v>
      </c>
      <c r="H3381" t="s">
        <v>159</v>
      </c>
      <c r="I3381" t="s">
        <v>151</v>
      </c>
      <c r="J3381" s="96">
        <v>46114</v>
      </c>
      <c r="K3381" s="6">
        <v>46114</v>
      </c>
      <c r="L3381" s="6" t="s">
        <v>4</v>
      </c>
      <c r="M3381" t="s">
        <v>153</v>
      </c>
      <c r="N3381" t="s">
        <v>154</v>
      </c>
      <c r="O3381" s="64">
        <v>28</v>
      </c>
      <c r="P3381" s="64">
        <v>0</v>
      </c>
      <c r="Q3381" s="64">
        <v>0</v>
      </c>
      <c r="R3381" s="64">
        <v>28</v>
      </c>
      <c r="S3381" t="s">
        <v>155</v>
      </c>
    </row>
    <row r="3382" spans="1:19" x14ac:dyDescent="0.3">
      <c r="A3382" t="s">
        <v>5413</v>
      </c>
      <c r="B3382" t="s">
        <v>147</v>
      </c>
      <c r="C3382" t="s">
        <v>147</v>
      </c>
      <c r="D3382" t="s">
        <v>3360</v>
      </c>
      <c r="E3382" t="s">
        <v>87</v>
      </c>
      <c r="F3382" t="s">
        <v>17</v>
      </c>
      <c r="G3382" t="s">
        <v>158</v>
      </c>
      <c r="H3382" t="s">
        <v>159</v>
      </c>
      <c r="I3382" t="s">
        <v>151</v>
      </c>
      <c r="J3382" s="96">
        <v>46114</v>
      </c>
      <c r="K3382" s="6">
        <v>46114</v>
      </c>
      <c r="L3382" s="6" t="s">
        <v>4</v>
      </c>
      <c r="M3382" t="s">
        <v>153</v>
      </c>
      <c r="N3382" t="s">
        <v>154</v>
      </c>
      <c r="O3382" s="64">
        <v>15.97</v>
      </c>
      <c r="P3382" s="64">
        <v>0</v>
      </c>
      <c r="Q3382" s="64">
        <v>0</v>
      </c>
      <c r="R3382" s="64">
        <v>15.97</v>
      </c>
      <c r="S3382" t="s">
        <v>155</v>
      </c>
    </row>
    <row r="3383" spans="1:19" x14ac:dyDescent="0.3">
      <c r="A3383" t="s">
        <v>5414</v>
      </c>
      <c r="B3383" t="s">
        <v>147</v>
      </c>
      <c r="C3383" t="s">
        <v>147</v>
      </c>
      <c r="D3383" t="s">
        <v>2573</v>
      </c>
      <c r="E3383" t="s">
        <v>39</v>
      </c>
      <c r="F3383" t="s">
        <v>29</v>
      </c>
      <c r="G3383" t="s">
        <v>177</v>
      </c>
      <c r="H3383" t="s">
        <v>159</v>
      </c>
      <c r="I3383" t="s">
        <v>151</v>
      </c>
      <c r="J3383" s="96">
        <v>46114</v>
      </c>
      <c r="K3383" s="6">
        <v>46114</v>
      </c>
      <c r="L3383" s="6" t="s">
        <v>4</v>
      </c>
      <c r="M3383" t="s">
        <v>153</v>
      </c>
      <c r="N3383" t="s">
        <v>154</v>
      </c>
      <c r="O3383" s="64">
        <v>10.62</v>
      </c>
      <c r="P3383" s="64">
        <v>0</v>
      </c>
      <c r="Q3383" s="64">
        <v>0</v>
      </c>
      <c r="R3383" s="64">
        <v>10.62</v>
      </c>
      <c r="S3383" t="s">
        <v>155</v>
      </c>
    </row>
    <row r="3384" spans="1:19" x14ac:dyDescent="0.3">
      <c r="A3384" t="s">
        <v>5415</v>
      </c>
      <c r="B3384" t="s">
        <v>147</v>
      </c>
      <c r="C3384" t="s">
        <v>147</v>
      </c>
      <c r="D3384" t="s">
        <v>3360</v>
      </c>
      <c r="E3384" t="s">
        <v>87</v>
      </c>
      <c r="F3384" t="s">
        <v>17</v>
      </c>
      <c r="G3384" t="s">
        <v>158</v>
      </c>
      <c r="H3384" t="s">
        <v>159</v>
      </c>
      <c r="I3384" t="s">
        <v>151</v>
      </c>
      <c r="J3384" s="96">
        <v>46114</v>
      </c>
      <c r="K3384" s="6">
        <v>46114</v>
      </c>
      <c r="L3384" s="6" t="s">
        <v>4</v>
      </c>
      <c r="M3384" t="s">
        <v>153</v>
      </c>
      <c r="N3384" t="s">
        <v>154</v>
      </c>
      <c r="O3384" s="64">
        <v>26.99</v>
      </c>
      <c r="P3384" s="64">
        <v>0</v>
      </c>
      <c r="Q3384" s="64">
        <v>0</v>
      </c>
      <c r="R3384" s="64">
        <v>26.99</v>
      </c>
      <c r="S3384" t="s">
        <v>155</v>
      </c>
    </row>
    <row r="3385" spans="1:19" x14ac:dyDescent="0.3">
      <c r="A3385" t="s">
        <v>5416</v>
      </c>
      <c r="B3385" t="s">
        <v>147</v>
      </c>
      <c r="C3385" t="s">
        <v>147</v>
      </c>
      <c r="D3385" t="s">
        <v>2760</v>
      </c>
      <c r="E3385" t="s">
        <v>46</v>
      </c>
      <c r="F3385" t="s">
        <v>29</v>
      </c>
      <c r="G3385" t="s">
        <v>177</v>
      </c>
      <c r="H3385" t="s">
        <v>167</v>
      </c>
      <c r="I3385" t="s">
        <v>151</v>
      </c>
      <c r="J3385" s="96">
        <v>46114</v>
      </c>
      <c r="K3385" s="6">
        <v>46114</v>
      </c>
      <c r="L3385" s="6" t="s">
        <v>4</v>
      </c>
      <c r="M3385" t="s">
        <v>153</v>
      </c>
      <c r="N3385" t="s">
        <v>154</v>
      </c>
      <c r="O3385" s="64">
        <v>6.26</v>
      </c>
      <c r="P3385" s="64">
        <v>0</v>
      </c>
      <c r="Q3385" s="64">
        <v>0</v>
      </c>
      <c r="R3385" s="64">
        <v>6.26</v>
      </c>
      <c r="S3385" t="s">
        <v>155</v>
      </c>
    </row>
    <row r="3386" spans="1:19" x14ac:dyDescent="0.3">
      <c r="A3386" t="s">
        <v>5417</v>
      </c>
      <c r="B3386" t="s">
        <v>147</v>
      </c>
      <c r="C3386" t="s">
        <v>147</v>
      </c>
      <c r="D3386" t="s">
        <v>1363</v>
      </c>
      <c r="E3386" t="s">
        <v>41</v>
      </c>
      <c r="F3386" t="s">
        <v>17</v>
      </c>
      <c r="G3386" t="s">
        <v>158</v>
      </c>
      <c r="H3386" t="s">
        <v>159</v>
      </c>
      <c r="I3386" t="s">
        <v>151</v>
      </c>
      <c r="J3386" s="96">
        <v>46118</v>
      </c>
      <c r="K3386" s="6">
        <v>46118</v>
      </c>
      <c r="L3386" s="6" t="s">
        <v>4</v>
      </c>
      <c r="M3386" t="s">
        <v>153</v>
      </c>
      <c r="N3386" t="s">
        <v>154</v>
      </c>
      <c r="O3386" s="64">
        <v>500</v>
      </c>
      <c r="P3386" s="64">
        <v>0</v>
      </c>
      <c r="Q3386" s="64">
        <v>0</v>
      </c>
      <c r="R3386" s="64">
        <v>500</v>
      </c>
      <c r="S3386" t="s">
        <v>155</v>
      </c>
    </row>
    <row r="3387" spans="1:19" x14ac:dyDescent="0.3">
      <c r="A3387" t="s">
        <v>5418</v>
      </c>
      <c r="B3387" t="s">
        <v>147</v>
      </c>
      <c r="C3387" t="s">
        <v>147</v>
      </c>
      <c r="D3387" t="s">
        <v>1544</v>
      </c>
      <c r="E3387" t="s">
        <v>57</v>
      </c>
      <c r="F3387" t="s">
        <v>17</v>
      </c>
      <c r="G3387" t="s">
        <v>158</v>
      </c>
      <c r="H3387" t="s">
        <v>159</v>
      </c>
      <c r="I3387" t="s">
        <v>151</v>
      </c>
      <c r="J3387" s="96">
        <v>46118</v>
      </c>
      <c r="K3387" s="6">
        <v>46118</v>
      </c>
      <c r="L3387" s="6" t="s">
        <v>4</v>
      </c>
      <c r="M3387" t="s">
        <v>153</v>
      </c>
      <c r="N3387" t="s">
        <v>154</v>
      </c>
      <c r="O3387" s="64">
        <v>495</v>
      </c>
      <c r="P3387" s="64">
        <v>0</v>
      </c>
      <c r="Q3387" s="64">
        <v>0</v>
      </c>
      <c r="R3387" s="64">
        <v>495</v>
      </c>
      <c r="S3387" t="s">
        <v>155</v>
      </c>
    </row>
    <row r="3388" spans="1:19" x14ac:dyDescent="0.3">
      <c r="A3388" t="s">
        <v>5419</v>
      </c>
      <c r="B3388" t="s">
        <v>147</v>
      </c>
      <c r="C3388" t="s">
        <v>147</v>
      </c>
      <c r="D3388" t="s">
        <v>5420</v>
      </c>
      <c r="E3388" t="s">
        <v>101</v>
      </c>
      <c r="F3388" t="s">
        <v>17</v>
      </c>
      <c r="G3388" t="s">
        <v>149</v>
      </c>
      <c r="H3388" t="s">
        <v>150</v>
      </c>
      <c r="I3388" t="s">
        <v>151</v>
      </c>
      <c r="J3388" s="96">
        <v>46118</v>
      </c>
      <c r="K3388" s="6">
        <v>46118</v>
      </c>
      <c r="L3388" s="6" t="s">
        <v>4</v>
      </c>
      <c r="M3388" t="s">
        <v>153</v>
      </c>
      <c r="N3388" t="s">
        <v>154</v>
      </c>
      <c r="O3388" s="64">
        <v>49.53</v>
      </c>
      <c r="P3388" s="64">
        <v>0</v>
      </c>
      <c r="Q3388" s="64">
        <v>0</v>
      </c>
      <c r="R3388" s="64">
        <v>49.53</v>
      </c>
      <c r="S3388" t="s">
        <v>155</v>
      </c>
    </row>
    <row r="3389" spans="1:19" x14ac:dyDescent="0.3">
      <c r="A3389" t="s">
        <v>5421</v>
      </c>
      <c r="B3389" t="s">
        <v>147</v>
      </c>
      <c r="C3389" t="s">
        <v>147</v>
      </c>
      <c r="D3389" t="s">
        <v>5422</v>
      </c>
      <c r="E3389" t="s">
        <v>26</v>
      </c>
      <c r="F3389" t="s">
        <v>127</v>
      </c>
      <c r="G3389" t="s">
        <v>783</v>
      </c>
      <c r="H3389" t="s">
        <v>4254</v>
      </c>
      <c r="I3389" t="s">
        <v>151</v>
      </c>
      <c r="J3389" s="96">
        <v>46118</v>
      </c>
      <c r="K3389" s="6">
        <v>46118</v>
      </c>
      <c r="L3389" s="6" t="s">
        <v>4</v>
      </c>
      <c r="M3389" t="s">
        <v>153</v>
      </c>
      <c r="N3389" t="s">
        <v>154</v>
      </c>
      <c r="O3389" s="64">
        <v>3000</v>
      </c>
      <c r="P3389" s="64">
        <v>0</v>
      </c>
      <c r="Q3389" s="64">
        <v>0</v>
      </c>
      <c r="R3389" s="64">
        <v>3000</v>
      </c>
      <c r="S3389" t="s">
        <v>155</v>
      </c>
    </row>
    <row r="3390" spans="1:19" x14ac:dyDescent="0.3">
      <c r="A3390" t="s">
        <v>5423</v>
      </c>
      <c r="B3390" t="s">
        <v>147</v>
      </c>
      <c r="C3390" t="s">
        <v>147</v>
      </c>
      <c r="D3390" t="s">
        <v>5424</v>
      </c>
      <c r="E3390" t="s">
        <v>59</v>
      </c>
      <c r="F3390" t="s">
        <v>17</v>
      </c>
      <c r="G3390" t="s">
        <v>158</v>
      </c>
      <c r="H3390" t="s">
        <v>159</v>
      </c>
      <c r="I3390" t="s">
        <v>151</v>
      </c>
      <c r="J3390" s="96">
        <v>46118</v>
      </c>
      <c r="K3390" s="6">
        <v>46118</v>
      </c>
      <c r="L3390" s="6" t="s">
        <v>4</v>
      </c>
      <c r="M3390" t="s">
        <v>153</v>
      </c>
      <c r="N3390" t="s">
        <v>154</v>
      </c>
      <c r="O3390" s="64">
        <v>750</v>
      </c>
      <c r="P3390" s="64">
        <v>0</v>
      </c>
      <c r="Q3390" s="64">
        <v>0</v>
      </c>
      <c r="R3390" s="64">
        <v>750</v>
      </c>
      <c r="S3390" t="s">
        <v>155</v>
      </c>
    </row>
    <row r="3391" spans="1:19" x14ac:dyDescent="0.3">
      <c r="A3391" t="s">
        <v>5425</v>
      </c>
      <c r="B3391" t="s">
        <v>147</v>
      </c>
      <c r="C3391" t="s">
        <v>147</v>
      </c>
      <c r="D3391" t="s">
        <v>434</v>
      </c>
      <c r="E3391" t="s">
        <v>18</v>
      </c>
      <c r="F3391" t="s">
        <v>115</v>
      </c>
      <c r="G3391" t="s">
        <v>158</v>
      </c>
      <c r="H3391" t="s">
        <v>159</v>
      </c>
      <c r="I3391" t="s">
        <v>151</v>
      </c>
      <c r="J3391" s="96">
        <v>46118</v>
      </c>
      <c r="K3391" s="6">
        <v>46118</v>
      </c>
      <c r="L3391" s="6" t="s">
        <v>4</v>
      </c>
      <c r="M3391" t="s">
        <v>153</v>
      </c>
      <c r="N3391" t="s">
        <v>154</v>
      </c>
      <c r="O3391" s="64">
        <v>35.950000000000003</v>
      </c>
      <c r="P3391" s="64">
        <v>0</v>
      </c>
      <c r="Q3391" s="64">
        <v>0</v>
      </c>
      <c r="R3391" s="64">
        <v>35.950000000000003</v>
      </c>
      <c r="S3391" t="s">
        <v>155</v>
      </c>
    </row>
    <row r="3392" spans="1:19" x14ac:dyDescent="0.3">
      <c r="A3392" t="s">
        <v>5426</v>
      </c>
      <c r="B3392" t="s">
        <v>147</v>
      </c>
      <c r="C3392" t="s">
        <v>147</v>
      </c>
      <c r="D3392" t="s">
        <v>3273</v>
      </c>
      <c r="E3392" t="s">
        <v>85</v>
      </c>
      <c r="F3392" t="s">
        <v>17</v>
      </c>
      <c r="G3392" t="s">
        <v>158</v>
      </c>
      <c r="H3392" t="s">
        <v>159</v>
      </c>
      <c r="I3392" t="s">
        <v>151</v>
      </c>
      <c r="J3392" s="96">
        <v>46118</v>
      </c>
      <c r="K3392" s="6">
        <v>46118</v>
      </c>
      <c r="L3392" s="6" t="s">
        <v>4</v>
      </c>
      <c r="M3392" t="s">
        <v>153</v>
      </c>
      <c r="N3392" t="s">
        <v>154</v>
      </c>
      <c r="O3392" s="64">
        <v>436.65</v>
      </c>
      <c r="P3392" s="64">
        <v>0</v>
      </c>
      <c r="Q3392" s="64">
        <v>0</v>
      </c>
      <c r="R3392" s="64">
        <v>436.65</v>
      </c>
      <c r="S3392" t="s">
        <v>155</v>
      </c>
    </row>
    <row r="3393" spans="1:19" x14ac:dyDescent="0.3">
      <c r="A3393" t="s">
        <v>5427</v>
      </c>
      <c r="B3393" t="s">
        <v>147</v>
      </c>
      <c r="C3393" t="s">
        <v>147</v>
      </c>
      <c r="D3393" t="s">
        <v>449</v>
      </c>
      <c r="E3393" t="s">
        <v>18</v>
      </c>
      <c r="F3393" t="s">
        <v>115</v>
      </c>
      <c r="G3393" t="s">
        <v>158</v>
      </c>
      <c r="H3393" t="s">
        <v>159</v>
      </c>
      <c r="I3393" t="s">
        <v>151</v>
      </c>
      <c r="J3393" s="96">
        <v>46118</v>
      </c>
      <c r="K3393" s="6">
        <v>46118</v>
      </c>
      <c r="L3393" s="6" t="s">
        <v>4</v>
      </c>
      <c r="M3393" t="s">
        <v>153</v>
      </c>
      <c r="N3393" t="s">
        <v>154</v>
      </c>
      <c r="O3393" s="64">
        <v>17.98</v>
      </c>
      <c r="P3393" s="64">
        <v>0</v>
      </c>
      <c r="Q3393" s="64">
        <v>0</v>
      </c>
      <c r="R3393" s="64">
        <v>17.98</v>
      </c>
      <c r="S3393" t="s">
        <v>155</v>
      </c>
    </row>
    <row r="3394" spans="1:19" x14ac:dyDescent="0.3">
      <c r="A3394" t="s">
        <v>5428</v>
      </c>
      <c r="B3394" t="s">
        <v>147</v>
      </c>
      <c r="C3394" t="s">
        <v>147</v>
      </c>
      <c r="D3394" t="s">
        <v>5429</v>
      </c>
      <c r="E3394" t="s">
        <v>26</v>
      </c>
      <c r="F3394" t="s">
        <v>127</v>
      </c>
      <c r="G3394" t="s">
        <v>783</v>
      </c>
      <c r="H3394" t="s">
        <v>159</v>
      </c>
      <c r="I3394" t="s">
        <v>151</v>
      </c>
      <c r="J3394" s="96">
        <v>46118</v>
      </c>
      <c r="K3394" s="6">
        <v>46118</v>
      </c>
      <c r="L3394" s="6" t="s">
        <v>4</v>
      </c>
      <c r="M3394" t="s">
        <v>153</v>
      </c>
      <c r="N3394" t="s">
        <v>154</v>
      </c>
      <c r="O3394" s="64">
        <v>319020.78000000003</v>
      </c>
      <c r="P3394" s="64">
        <v>0</v>
      </c>
      <c r="Q3394" s="64">
        <v>0</v>
      </c>
      <c r="R3394" s="64">
        <v>319020.78000000003</v>
      </c>
      <c r="S3394" t="s">
        <v>155</v>
      </c>
    </row>
    <row r="3395" spans="1:19" x14ac:dyDescent="0.3">
      <c r="A3395" t="s">
        <v>5430</v>
      </c>
      <c r="B3395" t="s">
        <v>147</v>
      </c>
      <c r="C3395" t="s">
        <v>147</v>
      </c>
      <c r="D3395" t="s">
        <v>5431</v>
      </c>
      <c r="E3395" t="s">
        <v>50</v>
      </c>
      <c r="F3395" t="s">
        <v>25</v>
      </c>
      <c r="G3395" t="s">
        <v>149</v>
      </c>
      <c r="H3395" t="s">
        <v>150</v>
      </c>
      <c r="I3395" t="s">
        <v>151</v>
      </c>
      <c r="J3395" s="96">
        <v>46118</v>
      </c>
      <c r="K3395" s="6">
        <v>46118</v>
      </c>
      <c r="L3395" s="6" t="s">
        <v>4</v>
      </c>
      <c r="M3395" t="s">
        <v>153</v>
      </c>
      <c r="N3395" t="s">
        <v>154</v>
      </c>
      <c r="O3395" s="64">
        <v>150000</v>
      </c>
      <c r="P3395" s="64">
        <v>0</v>
      </c>
      <c r="Q3395" s="64">
        <v>0</v>
      </c>
      <c r="R3395" s="64">
        <v>150000</v>
      </c>
      <c r="S3395" t="s">
        <v>155</v>
      </c>
    </row>
    <row r="3396" spans="1:19" x14ac:dyDescent="0.3">
      <c r="A3396" t="s">
        <v>5432</v>
      </c>
      <c r="B3396" t="s">
        <v>147</v>
      </c>
      <c r="C3396" t="s">
        <v>147</v>
      </c>
      <c r="D3396" t="s">
        <v>2760</v>
      </c>
      <c r="E3396" t="s">
        <v>46</v>
      </c>
      <c r="F3396" t="s">
        <v>29</v>
      </c>
      <c r="G3396" t="s">
        <v>177</v>
      </c>
      <c r="H3396" t="s">
        <v>167</v>
      </c>
      <c r="I3396" t="s">
        <v>151</v>
      </c>
      <c r="J3396" s="96">
        <v>46118</v>
      </c>
      <c r="K3396" s="6">
        <v>46118</v>
      </c>
      <c r="L3396" s="6" t="s">
        <v>4</v>
      </c>
      <c r="M3396" t="s">
        <v>153</v>
      </c>
      <c r="N3396" t="s">
        <v>154</v>
      </c>
      <c r="O3396" s="64">
        <v>3.13</v>
      </c>
      <c r="P3396" s="64">
        <v>0</v>
      </c>
      <c r="Q3396" s="64">
        <v>0</v>
      </c>
      <c r="R3396" s="64">
        <v>3.13</v>
      </c>
      <c r="S3396" t="s">
        <v>155</v>
      </c>
    </row>
    <row r="3397" spans="1:19" x14ac:dyDescent="0.3">
      <c r="A3397" t="s">
        <v>5433</v>
      </c>
      <c r="B3397" t="s">
        <v>147</v>
      </c>
      <c r="C3397" t="s">
        <v>147</v>
      </c>
      <c r="D3397" t="s">
        <v>3944</v>
      </c>
      <c r="E3397" t="s">
        <v>46</v>
      </c>
      <c r="F3397" t="s">
        <v>29</v>
      </c>
      <c r="G3397" t="s">
        <v>177</v>
      </c>
      <c r="H3397" t="s">
        <v>167</v>
      </c>
      <c r="I3397" t="s">
        <v>151</v>
      </c>
      <c r="J3397" s="96">
        <v>46118</v>
      </c>
      <c r="K3397" s="6">
        <v>46118</v>
      </c>
      <c r="L3397" s="6" t="s">
        <v>4</v>
      </c>
      <c r="M3397" t="s">
        <v>153</v>
      </c>
      <c r="N3397" t="s">
        <v>154</v>
      </c>
      <c r="O3397" s="64">
        <v>0.08</v>
      </c>
      <c r="P3397" s="64">
        <v>0</v>
      </c>
      <c r="Q3397" s="64">
        <v>0</v>
      </c>
      <c r="R3397" s="64">
        <v>0.08</v>
      </c>
      <c r="S3397" t="s">
        <v>155</v>
      </c>
    </row>
    <row r="3398" spans="1:19" x14ac:dyDescent="0.3">
      <c r="A3398" t="s">
        <v>5434</v>
      </c>
      <c r="B3398" t="s">
        <v>147</v>
      </c>
      <c r="C3398" t="s">
        <v>147</v>
      </c>
      <c r="D3398" t="s">
        <v>5435</v>
      </c>
      <c r="E3398" t="s">
        <v>39</v>
      </c>
      <c r="F3398" t="s">
        <v>29</v>
      </c>
      <c r="G3398" t="s">
        <v>177</v>
      </c>
      <c r="H3398" t="s">
        <v>159</v>
      </c>
      <c r="I3398" t="s">
        <v>151</v>
      </c>
      <c r="J3398" s="96">
        <v>46118</v>
      </c>
      <c r="K3398" s="6">
        <v>46118</v>
      </c>
      <c r="L3398" s="6" t="s">
        <v>4</v>
      </c>
      <c r="M3398" t="s">
        <v>153</v>
      </c>
      <c r="N3398" t="s">
        <v>154</v>
      </c>
      <c r="O3398" s="64">
        <v>1.77</v>
      </c>
      <c r="P3398" s="64">
        <v>0</v>
      </c>
      <c r="Q3398" s="64">
        <v>0</v>
      </c>
      <c r="R3398" s="64">
        <v>1.77</v>
      </c>
      <c r="S3398" t="s">
        <v>155</v>
      </c>
    </row>
    <row r="3399" spans="1:19" x14ac:dyDescent="0.3">
      <c r="A3399" t="s">
        <v>5436</v>
      </c>
      <c r="B3399" t="s">
        <v>147</v>
      </c>
      <c r="C3399" t="s">
        <v>147</v>
      </c>
      <c r="D3399" t="s">
        <v>4416</v>
      </c>
      <c r="E3399" t="s">
        <v>3559</v>
      </c>
      <c r="F3399" t="s">
        <v>17</v>
      </c>
      <c r="G3399" t="s">
        <v>158</v>
      </c>
      <c r="H3399" t="s">
        <v>159</v>
      </c>
      <c r="I3399" t="s">
        <v>151</v>
      </c>
      <c r="J3399" s="96">
        <v>46119</v>
      </c>
      <c r="K3399" s="6">
        <v>46119</v>
      </c>
      <c r="L3399" s="6" t="s">
        <v>4</v>
      </c>
      <c r="M3399" t="s">
        <v>153</v>
      </c>
      <c r="N3399" t="s">
        <v>154</v>
      </c>
      <c r="O3399" s="64">
        <v>20</v>
      </c>
      <c r="P3399" s="64">
        <v>0</v>
      </c>
      <c r="Q3399" s="64">
        <v>0</v>
      </c>
      <c r="R3399" s="64">
        <v>20</v>
      </c>
      <c r="S3399" t="s">
        <v>155</v>
      </c>
    </row>
    <row r="3400" spans="1:19" x14ac:dyDescent="0.3">
      <c r="A3400" t="s">
        <v>5437</v>
      </c>
      <c r="B3400" t="s">
        <v>147</v>
      </c>
      <c r="C3400" t="s">
        <v>147</v>
      </c>
      <c r="D3400" t="s">
        <v>449</v>
      </c>
      <c r="E3400" t="s">
        <v>18</v>
      </c>
      <c r="F3400" t="s">
        <v>115</v>
      </c>
      <c r="G3400" t="s">
        <v>4253</v>
      </c>
      <c r="H3400" t="s">
        <v>4254</v>
      </c>
      <c r="I3400" t="s">
        <v>151</v>
      </c>
      <c r="J3400" s="96">
        <v>46119</v>
      </c>
      <c r="K3400" s="6">
        <v>46119</v>
      </c>
      <c r="L3400" s="6" t="s">
        <v>4</v>
      </c>
      <c r="M3400" t="s">
        <v>153</v>
      </c>
      <c r="N3400" t="s">
        <v>154</v>
      </c>
      <c r="O3400" s="64">
        <v>73.98</v>
      </c>
      <c r="P3400" s="64">
        <v>0</v>
      </c>
      <c r="Q3400" s="64">
        <v>0</v>
      </c>
      <c r="R3400" s="64">
        <v>73.98</v>
      </c>
      <c r="S3400" t="s">
        <v>155</v>
      </c>
    </row>
    <row r="3401" spans="1:19" x14ac:dyDescent="0.3">
      <c r="A3401" t="s">
        <v>5438</v>
      </c>
      <c r="B3401" t="s">
        <v>147</v>
      </c>
      <c r="C3401" t="s">
        <v>147</v>
      </c>
      <c r="D3401" t="s">
        <v>5439</v>
      </c>
      <c r="E3401" t="s">
        <v>66</v>
      </c>
      <c r="F3401" t="s">
        <v>17</v>
      </c>
      <c r="G3401" t="s">
        <v>158</v>
      </c>
      <c r="H3401" t="s">
        <v>159</v>
      </c>
      <c r="I3401" t="s">
        <v>151</v>
      </c>
      <c r="J3401" s="96">
        <v>46119</v>
      </c>
      <c r="K3401" s="6">
        <v>46119</v>
      </c>
      <c r="L3401" s="6" t="s">
        <v>4</v>
      </c>
      <c r="M3401" t="s">
        <v>153</v>
      </c>
      <c r="N3401" t="s">
        <v>154</v>
      </c>
      <c r="O3401" s="64">
        <v>600</v>
      </c>
      <c r="P3401" s="64">
        <v>0</v>
      </c>
      <c r="Q3401" s="64">
        <v>0</v>
      </c>
      <c r="R3401" s="64">
        <v>600</v>
      </c>
      <c r="S3401" t="s">
        <v>155</v>
      </c>
    </row>
    <row r="3402" spans="1:19" x14ac:dyDescent="0.3">
      <c r="A3402" t="s">
        <v>5440</v>
      </c>
      <c r="B3402" t="s">
        <v>147</v>
      </c>
      <c r="C3402" t="s">
        <v>147</v>
      </c>
      <c r="D3402" t="s">
        <v>5441</v>
      </c>
      <c r="E3402" t="s">
        <v>41</v>
      </c>
      <c r="F3402" t="s">
        <v>17</v>
      </c>
      <c r="G3402" t="s">
        <v>158</v>
      </c>
      <c r="H3402" t="s">
        <v>159</v>
      </c>
      <c r="I3402" t="s">
        <v>151</v>
      </c>
      <c r="J3402" s="96">
        <v>46119</v>
      </c>
      <c r="K3402" s="6">
        <v>46119</v>
      </c>
      <c r="L3402" s="6" t="s">
        <v>4</v>
      </c>
      <c r="M3402" t="s">
        <v>153</v>
      </c>
      <c r="N3402" t="s">
        <v>154</v>
      </c>
      <c r="O3402" s="64">
        <v>300</v>
      </c>
      <c r="P3402" s="64">
        <v>0</v>
      </c>
      <c r="Q3402" s="64">
        <v>0</v>
      </c>
      <c r="R3402" s="64">
        <v>300</v>
      </c>
      <c r="S3402" t="s">
        <v>155</v>
      </c>
    </row>
    <row r="3403" spans="1:19" x14ac:dyDescent="0.3">
      <c r="A3403" t="s">
        <v>5442</v>
      </c>
      <c r="B3403" t="s">
        <v>147</v>
      </c>
      <c r="C3403" t="s">
        <v>147</v>
      </c>
      <c r="D3403" t="s">
        <v>5443</v>
      </c>
      <c r="E3403" t="s">
        <v>41</v>
      </c>
      <c r="F3403" t="s">
        <v>17</v>
      </c>
      <c r="G3403" t="s">
        <v>158</v>
      </c>
      <c r="H3403" t="s">
        <v>159</v>
      </c>
      <c r="I3403" t="s">
        <v>151</v>
      </c>
      <c r="J3403" s="96">
        <v>46119</v>
      </c>
      <c r="K3403" s="6">
        <v>46119</v>
      </c>
      <c r="L3403" s="6" t="s">
        <v>4</v>
      </c>
      <c r="M3403" t="s">
        <v>153</v>
      </c>
      <c r="N3403" t="s">
        <v>154</v>
      </c>
      <c r="O3403" s="64">
        <v>300</v>
      </c>
      <c r="P3403" s="64">
        <v>0</v>
      </c>
      <c r="Q3403" s="64">
        <v>0</v>
      </c>
      <c r="R3403" s="64">
        <v>300</v>
      </c>
      <c r="S3403" t="s">
        <v>155</v>
      </c>
    </row>
    <row r="3404" spans="1:19" x14ac:dyDescent="0.3">
      <c r="A3404" t="s">
        <v>5444</v>
      </c>
      <c r="B3404" t="s">
        <v>147</v>
      </c>
      <c r="C3404" t="s">
        <v>147</v>
      </c>
      <c r="D3404" t="s">
        <v>5445</v>
      </c>
      <c r="E3404" t="s">
        <v>3665</v>
      </c>
      <c r="F3404" t="s">
        <v>121</v>
      </c>
      <c r="G3404" t="s">
        <v>213</v>
      </c>
      <c r="H3404" t="s">
        <v>159</v>
      </c>
      <c r="I3404" t="s">
        <v>151</v>
      </c>
      <c r="J3404" s="96">
        <v>46119</v>
      </c>
      <c r="K3404" s="6">
        <v>46119</v>
      </c>
      <c r="L3404" s="6" t="s">
        <v>4</v>
      </c>
      <c r="M3404" t="s">
        <v>153</v>
      </c>
      <c r="N3404" t="s">
        <v>154</v>
      </c>
      <c r="O3404" s="64">
        <v>57533.97</v>
      </c>
      <c r="P3404" s="64">
        <v>0</v>
      </c>
      <c r="Q3404" s="64">
        <v>0</v>
      </c>
      <c r="R3404" s="64">
        <v>57533.97</v>
      </c>
      <c r="S3404" t="s">
        <v>155</v>
      </c>
    </row>
    <row r="3405" spans="1:19" x14ac:dyDescent="0.3">
      <c r="A3405" t="s">
        <v>5446</v>
      </c>
      <c r="B3405" t="s">
        <v>147</v>
      </c>
      <c r="C3405" t="s">
        <v>147</v>
      </c>
      <c r="D3405" t="s">
        <v>2573</v>
      </c>
      <c r="E3405" t="s">
        <v>39</v>
      </c>
      <c r="F3405" t="s">
        <v>29</v>
      </c>
      <c r="G3405" t="s">
        <v>177</v>
      </c>
      <c r="H3405" t="s">
        <v>159</v>
      </c>
      <c r="I3405" t="s">
        <v>151</v>
      </c>
      <c r="J3405" s="96">
        <v>46119</v>
      </c>
      <c r="K3405" s="6">
        <v>46119</v>
      </c>
      <c r="L3405" s="6" t="s">
        <v>4</v>
      </c>
      <c r="M3405" t="s">
        <v>153</v>
      </c>
      <c r="N3405" t="s">
        <v>154</v>
      </c>
      <c r="O3405" s="64">
        <v>3.54</v>
      </c>
      <c r="P3405" s="64">
        <v>0</v>
      </c>
      <c r="Q3405" s="64">
        <v>0</v>
      </c>
      <c r="R3405" s="64">
        <v>3.54</v>
      </c>
      <c r="S3405" t="s">
        <v>155</v>
      </c>
    </row>
    <row r="3406" spans="1:19" x14ac:dyDescent="0.3">
      <c r="A3406" t="s">
        <v>5447</v>
      </c>
      <c r="B3406" t="s">
        <v>147</v>
      </c>
      <c r="C3406" t="s">
        <v>147</v>
      </c>
      <c r="D3406" t="s">
        <v>2760</v>
      </c>
      <c r="E3406" t="s">
        <v>46</v>
      </c>
      <c r="F3406" t="s">
        <v>29</v>
      </c>
      <c r="G3406" t="s">
        <v>177</v>
      </c>
      <c r="H3406" t="s">
        <v>167</v>
      </c>
      <c r="I3406" t="s">
        <v>151</v>
      </c>
      <c r="J3406" s="96">
        <v>46119</v>
      </c>
      <c r="K3406" s="6">
        <v>46119</v>
      </c>
      <c r="L3406" s="6" t="s">
        <v>4</v>
      </c>
      <c r="M3406" t="s">
        <v>153</v>
      </c>
      <c r="N3406" t="s">
        <v>154</v>
      </c>
      <c r="O3406" s="64">
        <v>11.88</v>
      </c>
      <c r="P3406" s="64">
        <v>0</v>
      </c>
      <c r="Q3406" s="64">
        <v>0</v>
      </c>
      <c r="R3406" s="64">
        <v>11.88</v>
      </c>
      <c r="S3406" t="s">
        <v>155</v>
      </c>
    </row>
    <row r="3407" spans="1:19" x14ac:dyDescent="0.3">
      <c r="A3407" t="s">
        <v>5448</v>
      </c>
      <c r="B3407" t="s">
        <v>147</v>
      </c>
      <c r="C3407" t="s">
        <v>147</v>
      </c>
      <c r="D3407" t="s">
        <v>2760</v>
      </c>
      <c r="E3407" t="s">
        <v>46</v>
      </c>
      <c r="F3407" t="s">
        <v>29</v>
      </c>
      <c r="G3407" t="s">
        <v>177</v>
      </c>
      <c r="H3407" t="s">
        <v>167</v>
      </c>
      <c r="I3407" t="s">
        <v>151</v>
      </c>
      <c r="J3407" s="96">
        <v>46119</v>
      </c>
      <c r="K3407" s="6">
        <v>46119</v>
      </c>
      <c r="L3407" s="6" t="s">
        <v>4</v>
      </c>
      <c r="M3407" t="s">
        <v>153</v>
      </c>
      <c r="N3407" t="s">
        <v>154</v>
      </c>
      <c r="O3407" s="64">
        <v>21.91</v>
      </c>
      <c r="P3407" s="64">
        <v>0</v>
      </c>
      <c r="Q3407" s="64">
        <v>0</v>
      </c>
      <c r="R3407" s="64">
        <v>21.91</v>
      </c>
      <c r="S3407" t="s">
        <v>155</v>
      </c>
    </row>
    <row r="3408" spans="1:19" x14ac:dyDescent="0.3">
      <c r="A3408" t="s">
        <v>5449</v>
      </c>
      <c r="B3408" t="s">
        <v>147</v>
      </c>
      <c r="C3408" t="s">
        <v>147</v>
      </c>
      <c r="D3408" t="s">
        <v>4077</v>
      </c>
      <c r="E3408" t="s">
        <v>83</v>
      </c>
      <c r="F3408" t="s">
        <v>17</v>
      </c>
      <c r="G3408" t="s">
        <v>158</v>
      </c>
      <c r="H3408" t="s">
        <v>159</v>
      </c>
      <c r="I3408" t="s">
        <v>151</v>
      </c>
      <c r="J3408" s="96">
        <v>46120</v>
      </c>
      <c r="K3408" s="6">
        <v>46120</v>
      </c>
      <c r="L3408" s="6" t="s">
        <v>4</v>
      </c>
      <c r="M3408" t="s">
        <v>153</v>
      </c>
      <c r="N3408" t="s">
        <v>154</v>
      </c>
      <c r="O3408" s="64">
        <v>100</v>
      </c>
      <c r="P3408" s="64">
        <v>0</v>
      </c>
      <c r="Q3408" s="64">
        <v>0</v>
      </c>
      <c r="R3408" s="64">
        <v>100</v>
      </c>
      <c r="S3408" t="s">
        <v>155</v>
      </c>
    </row>
    <row r="3409" spans="1:19" x14ac:dyDescent="0.3">
      <c r="A3409" t="s">
        <v>5450</v>
      </c>
      <c r="B3409" t="s">
        <v>147</v>
      </c>
      <c r="C3409" t="s">
        <v>147</v>
      </c>
      <c r="D3409" t="s">
        <v>3273</v>
      </c>
      <c r="E3409" t="s">
        <v>85</v>
      </c>
      <c r="F3409" t="s">
        <v>17</v>
      </c>
      <c r="G3409" t="s">
        <v>4253</v>
      </c>
      <c r="H3409" t="s">
        <v>4254</v>
      </c>
      <c r="I3409" t="s">
        <v>151</v>
      </c>
      <c r="J3409" s="96">
        <v>46120</v>
      </c>
      <c r="K3409" s="6">
        <v>46120</v>
      </c>
      <c r="L3409" s="6" t="s">
        <v>4</v>
      </c>
      <c r="M3409" t="s">
        <v>153</v>
      </c>
      <c r="N3409" t="s">
        <v>154</v>
      </c>
      <c r="O3409" s="64">
        <v>541.44000000000005</v>
      </c>
      <c r="P3409" s="64">
        <v>0</v>
      </c>
      <c r="Q3409" s="64">
        <v>0</v>
      </c>
      <c r="R3409" s="64">
        <v>541.44000000000005</v>
      </c>
      <c r="S3409" t="s">
        <v>155</v>
      </c>
    </row>
    <row r="3410" spans="1:19" x14ac:dyDescent="0.3">
      <c r="A3410" t="s">
        <v>5451</v>
      </c>
      <c r="B3410" t="s">
        <v>147</v>
      </c>
      <c r="C3410" t="s">
        <v>147</v>
      </c>
      <c r="D3410" t="s">
        <v>5452</v>
      </c>
      <c r="E3410" t="s">
        <v>3665</v>
      </c>
      <c r="F3410" t="s">
        <v>121</v>
      </c>
      <c r="G3410" t="s">
        <v>381</v>
      </c>
      <c r="H3410" t="s">
        <v>167</v>
      </c>
      <c r="I3410" t="s">
        <v>151</v>
      </c>
      <c r="J3410" s="96">
        <v>46120</v>
      </c>
      <c r="K3410" s="6">
        <v>46120</v>
      </c>
      <c r="L3410" s="6" t="s">
        <v>4</v>
      </c>
      <c r="M3410" t="s">
        <v>153</v>
      </c>
      <c r="N3410" t="s">
        <v>154</v>
      </c>
      <c r="O3410" s="64">
        <v>40000</v>
      </c>
      <c r="P3410" s="64">
        <v>0</v>
      </c>
      <c r="Q3410" s="64">
        <v>0</v>
      </c>
      <c r="R3410" s="64">
        <v>40000</v>
      </c>
      <c r="S3410" t="s">
        <v>155</v>
      </c>
    </row>
    <row r="3411" spans="1:19" x14ac:dyDescent="0.3">
      <c r="A3411" t="s">
        <v>5453</v>
      </c>
      <c r="B3411" t="s">
        <v>147</v>
      </c>
      <c r="C3411" t="s">
        <v>147</v>
      </c>
      <c r="D3411" t="s">
        <v>449</v>
      </c>
      <c r="E3411" t="s">
        <v>18</v>
      </c>
      <c r="F3411" t="s">
        <v>115</v>
      </c>
      <c r="G3411" t="s">
        <v>158</v>
      </c>
      <c r="H3411" t="s">
        <v>159</v>
      </c>
      <c r="I3411" t="s">
        <v>151</v>
      </c>
      <c r="J3411" s="96">
        <v>46120</v>
      </c>
      <c r="K3411" s="6">
        <v>46120</v>
      </c>
      <c r="L3411" s="6" t="s">
        <v>4</v>
      </c>
      <c r="M3411" t="s">
        <v>153</v>
      </c>
      <c r="N3411" t="s">
        <v>154</v>
      </c>
      <c r="O3411" s="64">
        <v>36.99</v>
      </c>
      <c r="P3411" s="64">
        <v>0</v>
      </c>
      <c r="Q3411" s="64">
        <v>0</v>
      </c>
      <c r="R3411" s="64">
        <v>36.99</v>
      </c>
      <c r="S3411" t="s">
        <v>155</v>
      </c>
    </row>
    <row r="3412" spans="1:19" x14ac:dyDescent="0.3">
      <c r="A3412" t="s">
        <v>5454</v>
      </c>
      <c r="B3412" t="s">
        <v>147</v>
      </c>
      <c r="C3412" t="s">
        <v>147</v>
      </c>
      <c r="D3412" t="s">
        <v>5455</v>
      </c>
      <c r="E3412" t="s">
        <v>50</v>
      </c>
      <c r="F3412" t="s">
        <v>25</v>
      </c>
      <c r="G3412" t="s">
        <v>2412</v>
      </c>
      <c r="H3412" t="s">
        <v>159</v>
      </c>
      <c r="I3412" t="s">
        <v>151</v>
      </c>
      <c r="J3412" s="96">
        <v>46120</v>
      </c>
      <c r="K3412" s="6">
        <v>46120</v>
      </c>
      <c r="L3412" s="6" t="s">
        <v>4</v>
      </c>
      <c r="M3412" t="s">
        <v>153</v>
      </c>
      <c r="N3412" t="s">
        <v>154</v>
      </c>
      <c r="O3412" s="64">
        <v>6859.39</v>
      </c>
      <c r="P3412" s="64">
        <v>0</v>
      </c>
      <c r="Q3412" s="64">
        <v>0</v>
      </c>
      <c r="R3412" s="64">
        <v>6859.39</v>
      </c>
      <c r="S3412" t="s">
        <v>155</v>
      </c>
    </row>
    <row r="3413" spans="1:19" x14ac:dyDescent="0.3">
      <c r="A3413" t="s">
        <v>5456</v>
      </c>
      <c r="B3413" t="s">
        <v>147</v>
      </c>
      <c r="C3413" t="s">
        <v>147</v>
      </c>
      <c r="D3413" t="s">
        <v>2760</v>
      </c>
      <c r="E3413" t="s">
        <v>46</v>
      </c>
      <c r="F3413" t="s">
        <v>29</v>
      </c>
      <c r="G3413" t="s">
        <v>177</v>
      </c>
      <c r="H3413" t="s">
        <v>167</v>
      </c>
      <c r="I3413" t="s">
        <v>151</v>
      </c>
      <c r="J3413" s="96">
        <v>46120</v>
      </c>
      <c r="K3413" s="6">
        <v>46120</v>
      </c>
      <c r="L3413" s="6" t="s">
        <v>4</v>
      </c>
      <c r="M3413" t="s">
        <v>153</v>
      </c>
      <c r="N3413" t="s">
        <v>154</v>
      </c>
      <c r="O3413" s="64">
        <v>3.13</v>
      </c>
      <c r="P3413" s="64">
        <v>0</v>
      </c>
      <c r="Q3413" s="64">
        <v>0</v>
      </c>
      <c r="R3413" s="64">
        <v>3.13</v>
      </c>
      <c r="S3413" t="s">
        <v>155</v>
      </c>
    </row>
    <row r="3414" spans="1:19" x14ac:dyDescent="0.3">
      <c r="A3414" t="s">
        <v>5457</v>
      </c>
      <c r="B3414" t="s">
        <v>147</v>
      </c>
      <c r="C3414" t="s">
        <v>147</v>
      </c>
      <c r="D3414" t="s">
        <v>5458</v>
      </c>
      <c r="E3414" t="s">
        <v>30</v>
      </c>
      <c r="F3414" t="s">
        <v>17</v>
      </c>
      <c r="G3414" t="s">
        <v>158</v>
      </c>
      <c r="H3414" t="s">
        <v>159</v>
      </c>
      <c r="I3414" t="s">
        <v>151</v>
      </c>
      <c r="J3414" s="96">
        <v>46121</v>
      </c>
      <c r="K3414" s="6">
        <v>46121</v>
      </c>
      <c r="L3414" s="6" t="s">
        <v>4</v>
      </c>
      <c r="M3414" t="s">
        <v>153</v>
      </c>
      <c r="N3414" t="s">
        <v>154</v>
      </c>
      <c r="O3414" s="64">
        <v>338.97</v>
      </c>
      <c r="P3414" s="64">
        <v>0</v>
      </c>
      <c r="Q3414" s="64">
        <v>0</v>
      </c>
      <c r="R3414" s="64">
        <v>338.97</v>
      </c>
      <c r="S3414" t="s">
        <v>155</v>
      </c>
    </row>
    <row r="3415" spans="1:19" x14ac:dyDescent="0.3">
      <c r="A3415" t="s">
        <v>5459</v>
      </c>
      <c r="B3415" t="s">
        <v>147</v>
      </c>
      <c r="C3415" t="s">
        <v>147</v>
      </c>
      <c r="D3415" t="s">
        <v>5460</v>
      </c>
      <c r="E3415" t="s">
        <v>31</v>
      </c>
      <c r="F3415" t="s">
        <v>121</v>
      </c>
      <c r="G3415" t="s">
        <v>213</v>
      </c>
      <c r="H3415" t="s">
        <v>159</v>
      </c>
      <c r="I3415" t="s">
        <v>151</v>
      </c>
      <c r="J3415" s="96">
        <v>46121</v>
      </c>
      <c r="K3415" s="6">
        <v>46121</v>
      </c>
      <c r="L3415" s="6" t="s">
        <v>4</v>
      </c>
      <c r="M3415" t="s">
        <v>153</v>
      </c>
      <c r="N3415" t="s">
        <v>154</v>
      </c>
      <c r="O3415" s="64">
        <v>8800</v>
      </c>
      <c r="P3415" s="64">
        <v>0</v>
      </c>
      <c r="Q3415" s="64">
        <v>0</v>
      </c>
      <c r="R3415" s="64">
        <v>8800</v>
      </c>
      <c r="S3415" t="s">
        <v>155</v>
      </c>
    </row>
    <row r="3416" spans="1:19" x14ac:dyDescent="0.3">
      <c r="A3416" t="s">
        <v>5461</v>
      </c>
      <c r="B3416" t="s">
        <v>147</v>
      </c>
      <c r="C3416" t="s">
        <v>147</v>
      </c>
      <c r="D3416" t="s">
        <v>4804</v>
      </c>
      <c r="E3416" t="s">
        <v>81</v>
      </c>
      <c r="F3416" t="s">
        <v>126</v>
      </c>
      <c r="G3416" t="s">
        <v>2437</v>
      </c>
      <c r="H3416" t="s">
        <v>4029</v>
      </c>
      <c r="I3416" t="s">
        <v>151</v>
      </c>
      <c r="J3416" s="96">
        <v>46121</v>
      </c>
      <c r="K3416" s="6">
        <v>46121</v>
      </c>
      <c r="L3416" s="6" t="s">
        <v>4</v>
      </c>
      <c r="M3416" t="s">
        <v>153</v>
      </c>
      <c r="N3416" t="s">
        <v>154</v>
      </c>
      <c r="O3416" s="64">
        <v>100000</v>
      </c>
      <c r="P3416" s="64">
        <v>0</v>
      </c>
      <c r="Q3416" s="64">
        <v>0</v>
      </c>
      <c r="R3416" s="64">
        <v>100000</v>
      </c>
      <c r="S3416" t="s">
        <v>155</v>
      </c>
    </row>
    <row r="3417" spans="1:19" x14ac:dyDescent="0.3">
      <c r="A3417" t="s">
        <v>5462</v>
      </c>
      <c r="B3417" t="s">
        <v>147</v>
      </c>
      <c r="C3417" t="s">
        <v>147</v>
      </c>
      <c r="D3417" t="s">
        <v>5463</v>
      </c>
      <c r="E3417" t="s">
        <v>3665</v>
      </c>
      <c r="F3417" t="s">
        <v>121</v>
      </c>
      <c r="G3417" t="s">
        <v>213</v>
      </c>
      <c r="H3417" t="s">
        <v>159</v>
      </c>
      <c r="I3417" t="s">
        <v>151</v>
      </c>
      <c r="J3417" s="96">
        <v>46121</v>
      </c>
      <c r="K3417" s="6">
        <v>46121</v>
      </c>
      <c r="L3417" s="6" t="s">
        <v>4</v>
      </c>
      <c r="M3417" t="s">
        <v>153</v>
      </c>
      <c r="N3417" t="s">
        <v>154</v>
      </c>
      <c r="O3417" s="64">
        <v>55836.66</v>
      </c>
      <c r="P3417" s="64">
        <v>0</v>
      </c>
      <c r="Q3417" s="64">
        <v>0</v>
      </c>
      <c r="R3417" s="64">
        <v>55836.66</v>
      </c>
      <c r="S3417" t="s">
        <v>155</v>
      </c>
    </row>
    <row r="3418" spans="1:19" x14ac:dyDescent="0.3">
      <c r="A3418" t="s">
        <v>5464</v>
      </c>
      <c r="B3418" t="s">
        <v>147</v>
      </c>
      <c r="C3418" t="s">
        <v>147</v>
      </c>
      <c r="D3418" t="s">
        <v>5465</v>
      </c>
      <c r="E3418" t="s">
        <v>3665</v>
      </c>
      <c r="F3418" t="s">
        <v>121</v>
      </c>
      <c r="G3418" t="s">
        <v>213</v>
      </c>
      <c r="H3418" t="s">
        <v>159</v>
      </c>
      <c r="I3418" t="s">
        <v>151</v>
      </c>
      <c r="J3418" s="96">
        <v>46121</v>
      </c>
      <c r="K3418" s="6">
        <v>46121</v>
      </c>
      <c r="L3418" s="6" t="s">
        <v>4</v>
      </c>
      <c r="M3418" t="s">
        <v>153</v>
      </c>
      <c r="N3418" t="s">
        <v>154</v>
      </c>
      <c r="O3418" s="64">
        <v>68000</v>
      </c>
      <c r="P3418" s="64">
        <v>0</v>
      </c>
      <c r="Q3418" s="64">
        <v>0</v>
      </c>
      <c r="R3418" s="64">
        <v>68000</v>
      </c>
      <c r="S3418" t="s">
        <v>155</v>
      </c>
    </row>
    <row r="3419" spans="1:19" x14ac:dyDescent="0.3">
      <c r="A3419" t="s">
        <v>5466</v>
      </c>
      <c r="B3419" t="s">
        <v>147</v>
      </c>
      <c r="C3419" t="s">
        <v>147</v>
      </c>
      <c r="D3419" t="s">
        <v>449</v>
      </c>
      <c r="E3419" t="s">
        <v>18</v>
      </c>
      <c r="F3419" t="s">
        <v>115</v>
      </c>
      <c r="G3419" t="s">
        <v>158</v>
      </c>
      <c r="H3419" t="s">
        <v>159</v>
      </c>
      <c r="I3419" t="s">
        <v>151</v>
      </c>
      <c r="J3419" s="96">
        <v>46121</v>
      </c>
      <c r="K3419" s="6">
        <v>46121</v>
      </c>
      <c r="L3419" s="6" t="s">
        <v>4</v>
      </c>
      <c r="M3419" t="s">
        <v>153</v>
      </c>
      <c r="N3419" t="s">
        <v>154</v>
      </c>
      <c r="O3419" s="64">
        <v>99.8</v>
      </c>
      <c r="P3419" s="64">
        <v>0</v>
      </c>
      <c r="Q3419" s="64">
        <v>0</v>
      </c>
      <c r="R3419" s="64">
        <v>99.8</v>
      </c>
      <c r="S3419" t="s">
        <v>155</v>
      </c>
    </row>
    <row r="3420" spans="1:19" x14ac:dyDescent="0.3">
      <c r="A3420" t="s">
        <v>5467</v>
      </c>
      <c r="B3420" t="s">
        <v>147</v>
      </c>
      <c r="C3420" t="s">
        <v>147</v>
      </c>
      <c r="D3420" t="s">
        <v>5468</v>
      </c>
      <c r="E3420" t="s">
        <v>104</v>
      </c>
      <c r="F3420" t="s">
        <v>115</v>
      </c>
      <c r="G3420" t="s">
        <v>166</v>
      </c>
      <c r="H3420" t="s">
        <v>167</v>
      </c>
      <c r="I3420" t="s">
        <v>151</v>
      </c>
      <c r="J3420" s="96">
        <v>46121</v>
      </c>
      <c r="K3420" s="6">
        <v>46121</v>
      </c>
      <c r="L3420" s="6" t="s">
        <v>4</v>
      </c>
      <c r="M3420" t="s">
        <v>153</v>
      </c>
      <c r="N3420" t="s">
        <v>154</v>
      </c>
      <c r="O3420" s="64">
        <v>188</v>
      </c>
      <c r="P3420" s="64">
        <v>0</v>
      </c>
      <c r="Q3420" s="64">
        <v>0</v>
      </c>
      <c r="R3420" s="64">
        <v>188</v>
      </c>
      <c r="S3420" t="s">
        <v>155</v>
      </c>
    </row>
    <row r="3421" spans="1:19" x14ac:dyDescent="0.3">
      <c r="A3421" t="s">
        <v>5469</v>
      </c>
      <c r="B3421" t="s">
        <v>147</v>
      </c>
      <c r="C3421" t="s">
        <v>147</v>
      </c>
      <c r="D3421" t="s">
        <v>5470</v>
      </c>
      <c r="E3421" t="s">
        <v>81</v>
      </c>
      <c r="F3421" t="s">
        <v>126</v>
      </c>
      <c r="G3421" t="s">
        <v>2437</v>
      </c>
      <c r="H3421" t="s">
        <v>2438</v>
      </c>
      <c r="I3421" t="s">
        <v>151</v>
      </c>
      <c r="J3421" s="96">
        <v>46121</v>
      </c>
      <c r="K3421" s="6">
        <v>46121</v>
      </c>
      <c r="L3421" s="6" t="s">
        <v>4</v>
      </c>
      <c r="M3421" t="s">
        <v>153</v>
      </c>
      <c r="N3421" t="s">
        <v>154</v>
      </c>
      <c r="O3421" s="64">
        <v>94068.55</v>
      </c>
      <c r="P3421" s="64">
        <v>0</v>
      </c>
      <c r="Q3421" s="64">
        <v>0</v>
      </c>
      <c r="R3421" s="64">
        <v>94068.55</v>
      </c>
      <c r="S3421" t="s">
        <v>155</v>
      </c>
    </row>
    <row r="3422" spans="1:19" x14ac:dyDescent="0.3">
      <c r="A3422" t="s">
        <v>5471</v>
      </c>
      <c r="B3422" t="s">
        <v>147</v>
      </c>
      <c r="C3422" t="s">
        <v>147</v>
      </c>
      <c r="D3422" t="s">
        <v>5472</v>
      </c>
      <c r="E3422" t="s">
        <v>3665</v>
      </c>
      <c r="F3422" t="s">
        <v>121</v>
      </c>
      <c r="G3422" t="s">
        <v>213</v>
      </c>
      <c r="H3422" t="s">
        <v>167</v>
      </c>
      <c r="I3422" t="s">
        <v>151</v>
      </c>
      <c r="J3422" s="96">
        <v>46121</v>
      </c>
      <c r="K3422" s="6">
        <v>46121</v>
      </c>
      <c r="L3422" s="6" t="s">
        <v>4</v>
      </c>
      <c r="M3422" t="s">
        <v>153</v>
      </c>
      <c r="N3422" t="s">
        <v>154</v>
      </c>
      <c r="O3422" s="64">
        <v>30000</v>
      </c>
      <c r="P3422" s="64">
        <v>0</v>
      </c>
      <c r="Q3422" s="64">
        <v>0</v>
      </c>
      <c r="R3422" s="64">
        <v>30000</v>
      </c>
      <c r="S3422" t="s">
        <v>155</v>
      </c>
    </row>
    <row r="3423" spans="1:19" x14ac:dyDescent="0.3">
      <c r="A3423" t="s">
        <v>5473</v>
      </c>
      <c r="B3423" t="s">
        <v>147</v>
      </c>
      <c r="C3423" t="s">
        <v>147</v>
      </c>
      <c r="D3423" t="s">
        <v>5474</v>
      </c>
      <c r="E3423" t="s">
        <v>3665</v>
      </c>
      <c r="F3423" t="s">
        <v>121</v>
      </c>
      <c r="G3423" t="s">
        <v>213</v>
      </c>
      <c r="H3423" t="s">
        <v>167</v>
      </c>
      <c r="I3423" t="s">
        <v>151</v>
      </c>
      <c r="J3423" s="96">
        <v>46121</v>
      </c>
      <c r="K3423" s="6">
        <v>46121</v>
      </c>
      <c r="L3423" s="6" t="s">
        <v>4</v>
      </c>
      <c r="M3423" t="s">
        <v>153</v>
      </c>
      <c r="N3423" t="s">
        <v>154</v>
      </c>
      <c r="O3423" s="64">
        <v>40000</v>
      </c>
      <c r="P3423" s="64">
        <v>0</v>
      </c>
      <c r="Q3423" s="64">
        <v>0</v>
      </c>
      <c r="R3423" s="64">
        <v>40000</v>
      </c>
      <c r="S3423" t="s">
        <v>155</v>
      </c>
    </row>
    <row r="3424" spans="1:19" x14ac:dyDescent="0.3">
      <c r="A3424" t="s">
        <v>5475</v>
      </c>
      <c r="B3424" t="s">
        <v>147</v>
      </c>
      <c r="C3424" t="s">
        <v>147</v>
      </c>
      <c r="D3424" t="s">
        <v>5476</v>
      </c>
      <c r="E3424" t="s">
        <v>3665</v>
      </c>
      <c r="F3424" t="s">
        <v>121</v>
      </c>
      <c r="G3424" t="s">
        <v>213</v>
      </c>
      <c r="H3424" t="s">
        <v>167</v>
      </c>
      <c r="I3424" t="s">
        <v>151</v>
      </c>
      <c r="J3424" s="96">
        <v>46121</v>
      </c>
      <c r="K3424" s="6">
        <v>46121</v>
      </c>
      <c r="L3424" s="6" t="s">
        <v>4</v>
      </c>
      <c r="M3424" t="s">
        <v>153</v>
      </c>
      <c r="N3424" t="s">
        <v>154</v>
      </c>
      <c r="O3424" s="64">
        <v>30000</v>
      </c>
      <c r="P3424" s="64">
        <v>0</v>
      </c>
      <c r="Q3424" s="64">
        <v>0</v>
      </c>
      <c r="R3424" s="64">
        <v>30000</v>
      </c>
      <c r="S3424" t="s">
        <v>155</v>
      </c>
    </row>
    <row r="3425" spans="1:19" x14ac:dyDescent="0.3">
      <c r="A3425" t="s">
        <v>5477</v>
      </c>
      <c r="B3425" t="s">
        <v>147</v>
      </c>
      <c r="C3425" t="s">
        <v>147</v>
      </c>
      <c r="D3425" t="s">
        <v>5478</v>
      </c>
      <c r="E3425" t="s">
        <v>3665</v>
      </c>
      <c r="F3425" t="s">
        <v>121</v>
      </c>
      <c r="G3425" t="s">
        <v>213</v>
      </c>
      <c r="H3425" t="s">
        <v>167</v>
      </c>
      <c r="I3425" t="s">
        <v>151</v>
      </c>
      <c r="J3425" s="96">
        <v>46121</v>
      </c>
      <c r="K3425" s="6">
        <v>46121</v>
      </c>
      <c r="L3425" s="6" t="s">
        <v>4</v>
      </c>
      <c r="M3425" t="s">
        <v>153</v>
      </c>
      <c r="N3425" t="s">
        <v>154</v>
      </c>
      <c r="O3425" s="64">
        <v>40000</v>
      </c>
      <c r="P3425" s="64">
        <v>0</v>
      </c>
      <c r="Q3425" s="64">
        <v>0</v>
      </c>
      <c r="R3425" s="64">
        <v>40000</v>
      </c>
      <c r="S3425" t="s">
        <v>155</v>
      </c>
    </row>
    <row r="3426" spans="1:19" x14ac:dyDescent="0.3">
      <c r="A3426" t="s">
        <v>5479</v>
      </c>
      <c r="B3426" t="s">
        <v>147</v>
      </c>
      <c r="C3426" t="s">
        <v>147</v>
      </c>
      <c r="D3426" t="s">
        <v>5480</v>
      </c>
      <c r="E3426" t="s">
        <v>3665</v>
      </c>
      <c r="F3426" t="s">
        <v>121</v>
      </c>
      <c r="G3426" t="s">
        <v>213</v>
      </c>
      <c r="H3426" t="s">
        <v>167</v>
      </c>
      <c r="I3426" t="s">
        <v>151</v>
      </c>
      <c r="J3426" s="96">
        <v>46121</v>
      </c>
      <c r="K3426" s="6">
        <v>46121</v>
      </c>
      <c r="L3426" s="6" t="s">
        <v>4</v>
      </c>
      <c r="M3426" t="s">
        <v>153</v>
      </c>
      <c r="N3426" t="s">
        <v>154</v>
      </c>
      <c r="O3426" s="64">
        <v>56705.33</v>
      </c>
      <c r="P3426" s="64">
        <v>0</v>
      </c>
      <c r="Q3426" s="64">
        <v>0</v>
      </c>
      <c r="R3426" s="64">
        <v>56705.33</v>
      </c>
      <c r="S3426" t="s">
        <v>155</v>
      </c>
    </row>
    <row r="3427" spans="1:19" x14ac:dyDescent="0.3">
      <c r="A3427" t="s">
        <v>5481</v>
      </c>
      <c r="B3427" t="s">
        <v>147</v>
      </c>
      <c r="C3427" t="s">
        <v>147</v>
      </c>
      <c r="D3427" t="s">
        <v>5482</v>
      </c>
      <c r="E3427" t="s">
        <v>46</v>
      </c>
      <c r="F3427" t="s">
        <v>29</v>
      </c>
      <c r="G3427" t="s">
        <v>177</v>
      </c>
      <c r="H3427" t="s">
        <v>159</v>
      </c>
      <c r="I3427" t="s">
        <v>151</v>
      </c>
      <c r="J3427" s="96">
        <v>46121</v>
      </c>
      <c r="K3427" s="6">
        <v>46121</v>
      </c>
      <c r="L3427" s="6" t="s">
        <v>4</v>
      </c>
      <c r="M3427" t="s">
        <v>153</v>
      </c>
      <c r="N3427" t="s">
        <v>154</v>
      </c>
      <c r="O3427" s="64">
        <v>13.5</v>
      </c>
      <c r="P3427" s="64">
        <v>0</v>
      </c>
      <c r="Q3427" s="64">
        <v>0</v>
      </c>
      <c r="R3427" s="64">
        <v>13.5</v>
      </c>
      <c r="S3427" t="s">
        <v>155</v>
      </c>
    </row>
    <row r="3428" spans="1:19" x14ac:dyDescent="0.3">
      <c r="A3428" t="s">
        <v>5483</v>
      </c>
      <c r="B3428" t="s">
        <v>147</v>
      </c>
      <c r="C3428" t="s">
        <v>147</v>
      </c>
      <c r="D3428" t="s">
        <v>2760</v>
      </c>
      <c r="E3428" t="s">
        <v>46</v>
      </c>
      <c r="F3428" t="s">
        <v>29</v>
      </c>
      <c r="G3428" t="s">
        <v>177</v>
      </c>
      <c r="H3428" t="s">
        <v>167</v>
      </c>
      <c r="I3428" t="s">
        <v>151</v>
      </c>
      <c r="J3428" s="96">
        <v>46121</v>
      </c>
      <c r="K3428" s="6">
        <v>46121</v>
      </c>
      <c r="L3428" s="6" t="s">
        <v>4</v>
      </c>
      <c r="M3428" t="s">
        <v>153</v>
      </c>
      <c r="N3428" t="s">
        <v>154</v>
      </c>
      <c r="O3428" s="64">
        <v>5.94</v>
      </c>
      <c r="P3428" s="64">
        <v>0</v>
      </c>
      <c r="Q3428" s="64">
        <v>0</v>
      </c>
      <c r="R3428" s="64">
        <v>5.94</v>
      </c>
      <c r="S3428" t="s">
        <v>155</v>
      </c>
    </row>
    <row r="3429" spans="1:19" x14ac:dyDescent="0.3">
      <c r="A3429" t="s">
        <v>5484</v>
      </c>
      <c r="B3429" t="s">
        <v>147</v>
      </c>
      <c r="C3429" t="s">
        <v>147</v>
      </c>
      <c r="D3429" t="s">
        <v>3204</v>
      </c>
      <c r="E3429" t="s">
        <v>83</v>
      </c>
      <c r="F3429" t="s">
        <v>17</v>
      </c>
      <c r="G3429" t="s">
        <v>213</v>
      </c>
      <c r="H3429" t="s">
        <v>167</v>
      </c>
      <c r="I3429" t="s">
        <v>151</v>
      </c>
      <c r="J3429" s="96">
        <v>46122</v>
      </c>
      <c r="K3429" s="6">
        <v>46122</v>
      </c>
      <c r="L3429" s="6" t="s">
        <v>4</v>
      </c>
      <c r="M3429" t="s">
        <v>153</v>
      </c>
      <c r="N3429" t="s">
        <v>154</v>
      </c>
      <c r="O3429" s="64">
        <v>99.9</v>
      </c>
      <c r="P3429" s="64">
        <v>0</v>
      </c>
      <c r="Q3429" s="64">
        <v>0</v>
      </c>
      <c r="R3429" s="64">
        <v>99.9</v>
      </c>
      <c r="S3429" t="s">
        <v>155</v>
      </c>
    </row>
    <row r="3430" spans="1:19" x14ac:dyDescent="0.3">
      <c r="A3430" t="s">
        <v>5485</v>
      </c>
      <c r="B3430" t="s">
        <v>147</v>
      </c>
      <c r="C3430" t="s">
        <v>147</v>
      </c>
      <c r="D3430" t="s">
        <v>1316</v>
      </c>
      <c r="E3430" t="s">
        <v>43</v>
      </c>
      <c r="F3430" t="s">
        <v>29</v>
      </c>
      <c r="G3430" t="s">
        <v>177</v>
      </c>
      <c r="H3430" t="s">
        <v>150</v>
      </c>
      <c r="I3430" t="s">
        <v>151</v>
      </c>
      <c r="J3430" s="96">
        <v>46122</v>
      </c>
      <c r="K3430" s="6">
        <v>46122</v>
      </c>
      <c r="L3430" s="6" t="s">
        <v>4</v>
      </c>
      <c r="M3430" t="s">
        <v>153</v>
      </c>
      <c r="N3430" t="s">
        <v>154</v>
      </c>
      <c r="O3430" s="64">
        <v>541.86</v>
      </c>
      <c r="P3430" s="64">
        <v>0</v>
      </c>
      <c r="Q3430" s="64">
        <v>0</v>
      </c>
      <c r="R3430" s="64">
        <v>541.86</v>
      </c>
      <c r="S3430" t="s">
        <v>155</v>
      </c>
    </row>
    <row r="3431" spans="1:19" x14ac:dyDescent="0.3">
      <c r="A3431" t="s">
        <v>5486</v>
      </c>
      <c r="B3431" t="s">
        <v>147</v>
      </c>
      <c r="C3431" t="s">
        <v>147</v>
      </c>
      <c r="D3431" t="s">
        <v>5150</v>
      </c>
      <c r="E3431" t="s">
        <v>82</v>
      </c>
      <c r="F3431" t="s">
        <v>17</v>
      </c>
      <c r="G3431" t="s">
        <v>213</v>
      </c>
      <c r="H3431" t="s">
        <v>159</v>
      </c>
      <c r="I3431" t="s">
        <v>151</v>
      </c>
      <c r="J3431" s="96">
        <v>46122</v>
      </c>
      <c r="K3431" s="6">
        <v>46122</v>
      </c>
      <c r="L3431" s="6" t="s">
        <v>4</v>
      </c>
      <c r="M3431" t="s">
        <v>153</v>
      </c>
      <c r="N3431" t="s">
        <v>154</v>
      </c>
      <c r="O3431" s="64">
        <v>139.30000000000001</v>
      </c>
      <c r="P3431" s="64">
        <v>0</v>
      </c>
      <c r="Q3431" s="64">
        <v>0</v>
      </c>
      <c r="R3431" s="64">
        <v>139.30000000000001</v>
      </c>
      <c r="S3431" t="s">
        <v>155</v>
      </c>
    </row>
    <row r="3432" spans="1:19" x14ac:dyDescent="0.3">
      <c r="A3432" t="s">
        <v>5487</v>
      </c>
      <c r="B3432" t="s">
        <v>147</v>
      </c>
      <c r="C3432" t="s">
        <v>147</v>
      </c>
      <c r="D3432" t="s">
        <v>5488</v>
      </c>
      <c r="E3432" t="s">
        <v>5287</v>
      </c>
      <c r="F3432" t="s">
        <v>17</v>
      </c>
      <c r="G3432" t="s">
        <v>213</v>
      </c>
      <c r="H3432" t="s">
        <v>150</v>
      </c>
      <c r="I3432" t="s">
        <v>151</v>
      </c>
      <c r="J3432" s="96">
        <v>46122</v>
      </c>
      <c r="K3432" s="6">
        <v>46122</v>
      </c>
      <c r="L3432" s="6" t="s">
        <v>4</v>
      </c>
      <c r="M3432" t="s">
        <v>153</v>
      </c>
      <c r="N3432" t="s">
        <v>154</v>
      </c>
      <c r="O3432" s="64">
        <v>9385</v>
      </c>
      <c r="P3432" s="64">
        <v>0</v>
      </c>
      <c r="Q3432" s="64">
        <v>0</v>
      </c>
      <c r="R3432" s="64">
        <v>9385</v>
      </c>
      <c r="S3432" t="s">
        <v>155</v>
      </c>
    </row>
    <row r="3433" spans="1:19" x14ac:dyDescent="0.3">
      <c r="A3433" t="s">
        <v>5489</v>
      </c>
      <c r="B3433" t="s">
        <v>147</v>
      </c>
      <c r="C3433" t="s">
        <v>147</v>
      </c>
      <c r="D3433" t="s">
        <v>5490</v>
      </c>
      <c r="E3433" t="s">
        <v>103</v>
      </c>
      <c r="F3433" t="s">
        <v>17</v>
      </c>
      <c r="G3433" t="s">
        <v>213</v>
      </c>
      <c r="H3433" t="s">
        <v>159</v>
      </c>
      <c r="I3433" t="s">
        <v>151</v>
      </c>
      <c r="J3433" s="96">
        <v>46122</v>
      </c>
      <c r="K3433" s="6">
        <v>46122</v>
      </c>
      <c r="L3433" s="6" t="s">
        <v>4</v>
      </c>
      <c r="M3433" t="s">
        <v>153</v>
      </c>
      <c r="N3433" t="s">
        <v>154</v>
      </c>
      <c r="O3433" s="64">
        <v>280</v>
      </c>
      <c r="P3433" s="64">
        <v>0</v>
      </c>
      <c r="Q3433" s="64">
        <v>0</v>
      </c>
      <c r="R3433" s="64">
        <v>280</v>
      </c>
      <c r="S3433" t="s">
        <v>155</v>
      </c>
    </row>
    <row r="3434" spans="1:19" x14ac:dyDescent="0.3">
      <c r="A3434" t="s">
        <v>5491</v>
      </c>
      <c r="B3434" t="s">
        <v>147</v>
      </c>
      <c r="C3434" t="s">
        <v>147</v>
      </c>
      <c r="D3434" t="s">
        <v>4416</v>
      </c>
      <c r="E3434" t="s">
        <v>3559</v>
      </c>
      <c r="F3434" t="s">
        <v>17</v>
      </c>
      <c r="G3434" t="s">
        <v>181</v>
      </c>
      <c r="H3434" t="s">
        <v>182</v>
      </c>
      <c r="I3434" t="s">
        <v>151</v>
      </c>
      <c r="J3434" s="96">
        <v>46122</v>
      </c>
      <c r="K3434" s="6">
        <v>46122</v>
      </c>
      <c r="L3434" s="6" t="s">
        <v>4</v>
      </c>
      <c r="M3434" t="s">
        <v>153</v>
      </c>
      <c r="N3434" t="s">
        <v>154</v>
      </c>
      <c r="O3434" s="64">
        <v>20</v>
      </c>
      <c r="P3434" s="64">
        <v>0</v>
      </c>
      <c r="Q3434" s="64">
        <v>0</v>
      </c>
      <c r="R3434" s="64">
        <v>20</v>
      </c>
      <c r="S3434" t="s">
        <v>155</v>
      </c>
    </row>
    <row r="3435" spans="1:19" x14ac:dyDescent="0.3">
      <c r="A3435" t="s">
        <v>5492</v>
      </c>
      <c r="B3435" t="s">
        <v>147</v>
      </c>
      <c r="C3435" t="s">
        <v>147</v>
      </c>
      <c r="D3435" t="s">
        <v>449</v>
      </c>
      <c r="E3435" t="s">
        <v>18</v>
      </c>
      <c r="F3435" t="s">
        <v>115</v>
      </c>
      <c r="G3435" t="s">
        <v>158</v>
      </c>
      <c r="H3435" t="s">
        <v>159</v>
      </c>
      <c r="I3435" t="s">
        <v>151</v>
      </c>
      <c r="J3435" s="96">
        <v>46122</v>
      </c>
      <c r="K3435" s="6">
        <v>46122</v>
      </c>
      <c r="L3435" s="6" t="s">
        <v>4</v>
      </c>
      <c r="M3435" t="s">
        <v>153</v>
      </c>
      <c r="N3435" t="s">
        <v>154</v>
      </c>
      <c r="O3435" s="64">
        <v>32.99</v>
      </c>
      <c r="P3435" s="64">
        <v>0</v>
      </c>
      <c r="Q3435" s="64">
        <v>0</v>
      </c>
      <c r="R3435" s="64">
        <v>32.99</v>
      </c>
      <c r="S3435" t="s">
        <v>155</v>
      </c>
    </row>
    <row r="3436" spans="1:19" x14ac:dyDescent="0.3">
      <c r="A3436" t="s">
        <v>5493</v>
      </c>
      <c r="B3436" t="s">
        <v>147</v>
      </c>
      <c r="C3436" t="s">
        <v>147</v>
      </c>
      <c r="D3436" t="s">
        <v>5494</v>
      </c>
      <c r="E3436" t="s">
        <v>46</v>
      </c>
      <c r="F3436" t="s">
        <v>29</v>
      </c>
      <c r="G3436" t="s">
        <v>177</v>
      </c>
      <c r="H3436" t="s">
        <v>167</v>
      </c>
      <c r="I3436" t="s">
        <v>151</v>
      </c>
      <c r="J3436" s="96">
        <v>46122</v>
      </c>
      <c r="K3436" s="6">
        <v>46122</v>
      </c>
      <c r="L3436" s="6" t="s">
        <v>4</v>
      </c>
      <c r="M3436" t="s">
        <v>153</v>
      </c>
      <c r="N3436" t="s">
        <v>154</v>
      </c>
      <c r="O3436" s="64">
        <v>169.5</v>
      </c>
      <c r="P3436" s="64">
        <v>0</v>
      </c>
      <c r="Q3436" s="64">
        <v>0</v>
      </c>
      <c r="R3436" s="64">
        <v>169.5</v>
      </c>
      <c r="S3436" t="s">
        <v>155</v>
      </c>
    </row>
    <row r="3437" spans="1:19" x14ac:dyDescent="0.3">
      <c r="A3437" t="s">
        <v>5495</v>
      </c>
      <c r="B3437" t="s">
        <v>147</v>
      </c>
      <c r="C3437" t="s">
        <v>147</v>
      </c>
      <c r="D3437" t="s">
        <v>3208</v>
      </c>
      <c r="E3437" t="s">
        <v>83</v>
      </c>
      <c r="F3437" t="s">
        <v>17</v>
      </c>
      <c r="G3437" t="s">
        <v>177</v>
      </c>
      <c r="H3437" t="s">
        <v>167</v>
      </c>
      <c r="I3437" t="s">
        <v>151</v>
      </c>
      <c r="J3437" s="96">
        <v>46122</v>
      </c>
      <c r="K3437" s="6">
        <v>46122</v>
      </c>
      <c r="L3437" s="6" t="s">
        <v>4</v>
      </c>
      <c r="M3437" t="s">
        <v>153</v>
      </c>
      <c r="N3437" t="s">
        <v>154</v>
      </c>
      <c r="O3437" s="64">
        <v>104.7</v>
      </c>
      <c r="P3437" s="64">
        <v>0</v>
      </c>
      <c r="Q3437" s="64">
        <v>0</v>
      </c>
      <c r="R3437" s="64">
        <v>104.7</v>
      </c>
      <c r="S3437" t="s">
        <v>155</v>
      </c>
    </row>
    <row r="3438" spans="1:19" x14ac:dyDescent="0.3">
      <c r="A3438" t="s">
        <v>5496</v>
      </c>
      <c r="B3438" t="s">
        <v>147</v>
      </c>
      <c r="C3438" t="s">
        <v>147</v>
      </c>
      <c r="D3438" t="s">
        <v>1311</v>
      </c>
      <c r="E3438" t="s">
        <v>43</v>
      </c>
      <c r="F3438" t="s">
        <v>29</v>
      </c>
      <c r="G3438" t="s">
        <v>177</v>
      </c>
      <c r="H3438" t="s">
        <v>167</v>
      </c>
      <c r="I3438" t="s">
        <v>151</v>
      </c>
      <c r="J3438" s="96">
        <v>46122</v>
      </c>
      <c r="K3438" s="6">
        <v>46122</v>
      </c>
      <c r="L3438" s="6" t="s">
        <v>4</v>
      </c>
      <c r="M3438" t="s">
        <v>153</v>
      </c>
      <c r="N3438" t="s">
        <v>154</v>
      </c>
      <c r="O3438" s="64">
        <v>2835.88</v>
      </c>
      <c r="P3438" s="64">
        <v>0</v>
      </c>
      <c r="Q3438" s="64">
        <v>0</v>
      </c>
      <c r="R3438" s="64">
        <v>2835.88</v>
      </c>
      <c r="S3438" t="s">
        <v>155</v>
      </c>
    </row>
    <row r="3439" spans="1:19" x14ac:dyDescent="0.3">
      <c r="A3439" t="s">
        <v>5497</v>
      </c>
      <c r="B3439" t="s">
        <v>147</v>
      </c>
      <c r="C3439" t="s">
        <v>147</v>
      </c>
      <c r="D3439" t="s">
        <v>5498</v>
      </c>
      <c r="E3439" t="s">
        <v>76</v>
      </c>
      <c r="F3439" t="s">
        <v>17</v>
      </c>
      <c r="G3439" t="s">
        <v>177</v>
      </c>
      <c r="H3439" t="s">
        <v>167</v>
      </c>
      <c r="I3439" t="s">
        <v>151</v>
      </c>
      <c r="J3439" s="96">
        <v>46122</v>
      </c>
      <c r="K3439" s="6">
        <v>46122</v>
      </c>
      <c r="L3439" s="6" t="s">
        <v>4</v>
      </c>
      <c r="M3439" t="s">
        <v>153</v>
      </c>
      <c r="N3439" t="s">
        <v>154</v>
      </c>
      <c r="O3439" s="64">
        <v>572</v>
      </c>
      <c r="P3439" s="64">
        <v>0</v>
      </c>
      <c r="Q3439" s="64">
        <v>0</v>
      </c>
      <c r="R3439" s="64">
        <v>572</v>
      </c>
      <c r="S3439" t="s">
        <v>155</v>
      </c>
    </row>
    <row r="3440" spans="1:19" x14ac:dyDescent="0.3">
      <c r="A3440" t="s">
        <v>5499</v>
      </c>
      <c r="B3440" t="s">
        <v>147</v>
      </c>
      <c r="C3440" t="s">
        <v>147</v>
      </c>
      <c r="D3440" t="s">
        <v>5500</v>
      </c>
      <c r="E3440" t="s">
        <v>46</v>
      </c>
      <c r="F3440" t="s">
        <v>29</v>
      </c>
      <c r="G3440" t="s">
        <v>177</v>
      </c>
      <c r="H3440" t="s">
        <v>159</v>
      </c>
      <c r="I3440" t="s">
        <v>151</v>
      </c>
      <c r="J3440" s="96">
        <v>46122</v>
      </c>
      <c r="K3440" s="6">
        <v>46122</v>
      </c>
      <c r="L3440" s="6" t="s">
        <v>4</v>
      </c>
      <c r="M3440" t="s">
        <v>153</v>
      </c>
      <c r="N3440" t="s">
        <v>154</v>
      </c>
      <c r="O3440" s="64">
        <v>1.77</v>
      </c>
      <c r="P3440" s="64">
        <v>0</v>
      </c>
      <c r="Q3440" s="64">
        <v>0</v>
      </c>
      <c r="R3440" s="64">
        <v>1.77</v>
      </c>
      <c r="S3440" t="s">
        <v>155</v>
      </c>
    </row>
    <row r="3441" spans="1:19" x14ac:dyDescent="0.3">
      <c r="A3441" t="s">
        <v>5501</v>
      </c>
      <c r="B3441" t="s">
        <v>147</v>
      </c>
      <c r="C3441" t="s">
        <v>147</v>
      </c>
      <c r="D3441" t="s">
        <v>5502</v>
      </c>
      <c r="E3441" t="s">
        <v>30</v>
      </c>
      <c r="F3441" t="s">
        <v>17</v>
      </c>
      <c r="G3441" t="s">
        <v>149</v>
      </c>
      <c r="H3441" t="s">
        <v>150</v>
      </c>
      <c r="I3441" t="s">
        <v>151</v>
      </c>
      <c r="J3441" s="96">
        <v>46122</v>
      </c>
      <c r="K3441" s="6">
        <v>46122</v>
      </c>
      <c r="L3441" s="6" t="s">
        <v>4</v>
      </c>
      <c r="M3441" t="s">
        <v>153</v>
      </c>
      <c r="N3441" t="s">
        <v>154</v>
      </c>
      <c r="O3441" s="64">
        <v>287.62</v>
      </c>
      <c r="P3441" s="64">
        <v>0</v>
      </c>
      <c r="Q3441" s="64">
        <v>0</v>
      </c>
      <c r="R3441" s="64">
        <v>287.62</v>
      </c>
      <c r="S3441" t="s">
        <v>155</v>
      </c>
    </row>
    <row r="3442" spans="1:19" x14ac:dyDescent="0.3">
      <c r="A3442" t="s">
        <v>5503</v>
      </c>
      <c r="B3442" t="s">
        <v>147</v>
      </c>
      <c r="C3442" t="s">
        <v>147</v>
      </c>
      <c r="D3442" t="s">
        <v>2760</v>
      </c>
      <c r="E3442" t="s">
        <v>46</v>
      </c>
      <c r="F3442" t="s">
        <v>29</v>
      </c>
      <c r="G3442" t="s">
        <v>177</v>
      </c>
      <c r="H3442" t="s">
        <v>167</v>
      </c>
      <c r="I3442" t="s">
        <v>151</v>
      </c>
      <c r="J3442" s="96">
        <v>46122</v>
      </c>
      <c r="K3442" s="6">
        <v>46122</v>
      </c>
      <c r="L3442" s="6" t="s">
        <v>4</v>
      </c>
      <c r="M3442" t="s">
        <v>153</v>
      </c>
      <c r="N3442" t="s">
        <v>154</v>
      </c>
      <c r="O3442" s="64">
        <v>6.26</v>
      </c>
      <c r="P3442" s="64">
        <v>0</v>
      </c>
      <c r="Q3442" s="64">
        <v>0</v>
      </c>
      <c r="R3442" s="64">
        <v>6.26</v>
      </c>
      <c r="S3442" t="s">
        <v>155</v>
      </c>
    </row>
    <row r="3443" spans="1:19" x14ac:dyDescent="0.3">
      <c r="A3443" t="s">
        <v>5504</v>
      </c>
      <c r="B3443" t="s">
        <v>147</v>
      </c>
      <c r="C3443" t="s">
        <v>147</v>
      </c>
      <c r="D3443" t="s">
        <v>2760</v>
      </c>
      <c r="E3443" t="s">
        <v>46</v>
      </c>
      <c r="F3443" t="s">
        <v>29</v>
      </c>
      <c r="G3443" t="s">
        <v>177</v>
      </c>
      <c r="H3443" t="s">
        <v>167</v>
      </c>
      <c r="I3443" t="s">
        <v>151</v>
      </c>
      <c r="J3443" s="96">
        <v>46122</v>
      </c>
      <c r="K3443" s="6">
        <v>46122</v>
      </c>
      <c r="L3443" s="6" t="s">
        <v>4</v>
      </c>
      <c r="M3443" t="s">
        <v>153</v>
      </c>
      <c r="N3443" t="s">
        <v>154</v>
      </c>
      <c r="O3443" s="64">
        <v>3.13</v>
      </c>
      <c r="P3443" s="64">
        <v>0</v>
      </c>
      <c r="Q3443" s="64">
        <v>0</v>
      </c>
      <c r="R3443" s="64">
        <v>3.13</v>
      </c>
      <c r="S3443" t="s">
        <v>155</v>
      </c>
    </row>
    <row r="3444" spans="1:19" x14ac:dyDescent="0.3">
      <c r="A3444" t="s">
        <v>5505</v>
      </c>
      <c r="B3444" t="s">
        <v>147</v>
      </c>
      <c r="C3444" t="s">
        <v>147</v>
      </c>
      <c r="D3444" t="s">
        <v>5506</v>
      </c>
      <c r="E3444" t="s">
        <v>26</v>
      </c>
      <c r="F3444" t="s">
        <v>127</v>
      </c>
      <c r="G3444" t="s">
        <v>181</v>
      </c>
      <c r="H3444" t="s">
        <v>182</v>
      </c>
      <c r="I3444" t="s">
        <v>151</v>
      </c>
      <c r="J3444" s="96">
        <v>46125</v>
      </c>
      <c r="K3444" s="6">
        <v>46125</v>
      </c>
      <c r="L3444" s="6" t="s">
        <v>4</v>
      </c>
      <c r="M3444" t="s">
        <v>153</v>
      </c>
      <c r="N3444" t="s">
        <v>154</v>
      </c>
      <c r="O3444" s="64">
        <v>10000</v>
      </c>
      <c r="P3444" s="64">
        <v>0</v>
      </c>
      <c r="Q3444" s="64">
        <v>0</v>
      </c>
      <c r="R3444" s="64">
        <v>10000</v>
      </c>
      <c r="S3444" t="s">
        <v>155</v>
      </c>
    </row>
    <row r="3445" spans="1:19" x14ac:dyDescent="0.3">
      <c r="A3445" t="s">
        <v>5507</v>
      </c>
      <c r="B3445" t="s">
        <v>147</v>
      </c>
      <c r="C3445" t="s">
        <v>147</v>
      </c>
      <c r="D3445" t="s">
        <v>5508</v>
      </c>
      <c r="E3445" t="s">
        <v>104</v>
      </c>
      <c r="F3445" t="s">
        <v>115</v>
      </c>
      <c r="G3445" t="s">
        <v>166</v>
      </c>
      <c r="H3445" t="s">
        <v>167</v>
      </c>
      <c r="I3445" t="s">
        <v>151</v>
      </c>
      <c r="J3445" s="96">
        <v>46125</v>
      </c>
      <c r="K3445" s="6">
        <v>46125</v>
      </c>
      <c r="L3445" s="6" t="s">
        <v>4</v>
      </c>
      <c r="M3445" t="s">
        <v>153</v>
      </c>
      <c r="N3445" t="s">
        <v>154</v>
      </c>
      <c r="O3445" s="64">
        <v>188</v>
      </c>
      <c r="P3445" s="64">
        <v>0</v>
      </c>
      <c r="Q3445" s="64">
        <v>0</v>
      </c>
      <c r="R3445" s="64">
        <v>188</v>
      </c>
      <c r="S3445" t="s">
        <v>155</v>
      </c>
    </row>
    <row r="3446" spans="1:19" x14ac:dyDescent="0.3">
      <c r="A3446" t="s">
        <v>5509</v>
      </c>
      <c r="B3446" t="s">
        <v>147</v>
      </c>
      <c r="C3446" t="s">
        <v>147</v>
      </c>
      <c r="D3446" t="s">
        <v>307</v>
      </c>
      <c r="E3446" t="s">
        <v>18</v>
      </c>
      <c r="F3446" t="s">
        <v>115</v>
      </c>
      <c r="G3446" t="s">
        <v>181</v>
      </c>
      <c r="H3446" t="s">
        <v>182</v>
      </c>
      <c r="I3446" t="s">
        <v>151</v>
      </c>
      <c r="J3446" s="96">
        <v>46125</v>
      </c>
      <c r="K3446" s="6">
        <v>46125</v>
      </c>
      <c r="L3446" s="6" t="s">
        <v>4</v>
      </c>
      <c r="M3446" t="s">
        <v>153</v>
      </c>
      <c r="N3446" t="s">
        <v>154</v>
      </c>
      <c r="O3446" s="64">
        <v>250</v>
      </c>
      <c r="P3446" s="64">
        <v>0</v>
      </c>
      <c r="Q3446" s="64">
        <v>0</v>
      </c>
      <c r="R3446" s="64">
        <v>250</v>
      </c>
      <c r="S3446" t="s">
        <v>155</v>
      </c>
    </row>
    <row r="3447" spans="1:19" x14ac:dyDescent="0.3">
      <c r="A3447" t="s">
        <v>5510</v>
      </c>
      <c r="B3447" t="s">
        <v>147</v>
      </c>
      <c r="C3447" t="s">
        <v>147</v>
      </c>
      <c r="D3447" t="s">
        <v>5511</v>
      </c>
      <c r="E3447" t="s">
        <v>81</v>
      </c>
      <c r="F3447" t="s">
        <v>126</v>
      </c>
      <c r="G3447" t="s">
        <v>2437</v>
      </c>
      <c r="H3447" t="s">
        <v>4029</v>
      </c>
      <c r="I3447" t="s">
        <v>151</v>
      </c>
      <c r="J3447" s="96">
        <v>46125</v>
      </c>
      <c r="K3447" s="6">
        <v>46125</v>
      </c>
      <c r="L3447" s="6" t="s">
        <v>4</v>
      </c>
      <c r="M3447" t="s">
        <v>153</v>
      </c>
      <c r="N3447" t="s">
        <v>154</v>
      </c>
      <c r="O3447" s="64">
        <v>801.63</v>
      </c>
      <c r="P3447" s="64">
        <v>0</v>
      </c>
      <c r="Q3447" s="64">
        <v>0</v>
      </c>
      <c r="R3447" s="64">
        <v>801.63</v>
      </c>
      <c r="S3447" t="s">
        <v>155</v>
      </c>
    </row>
    <row r="3448" spans="1:19" x14ac:dyDescent="0.3">
      <c r="A3448" t="s">
        <v>5512</v>
      </c>
      <c r="B3448" t="s">
        <v>147</v>
      </c>
      <c r="C3448" t="s">
        <v>147</v>
      </c>
      <c r="D3448" t="s">
        <v>5513</v>
      </c>
      <c r="E3448" t="s">
        <v>81</v>
      </c>
      <c r="F3448" t="s">
        <v>126</v>
      </c>
      <c r="G3448" t="s">
        <v>2437</v>
      </c>
      <c r="H3448" t="s">
        <v>4029</v>
      </c>
      <c r="I3448" t="s">
        <v>151</v>
      </c>
      <c r="J3448" s="96">
        <v>46125</v>
      </c>
      <c r="K3448" s="6">
        <v>46125</v>
      </c>
      <c r="L3448" s="6" t="s">
        <v>4</v>
      </c>
      <c r="M3448" t="s">
        <v>153</v>
      </c>
      <c r="N3448" t="s">
        <v>154</v>
      </c>
      <c r="O3448" s="64">
        <v>120000</v>
      </c>
      <c r="P3448" s="64">
        <v>0</v>
      </c>
      <c r="Q3448" s="64">
        <v>0</v>
      </c>
      <c r="R3448" s="64">
        <v>120000</v>
      </c>
      <c r="S3448" t="s">
        <v>155</v>
      </c>
    </row>
    <row r="3449" spans="1:19" x14ac:dyDescent="0.3">
      <c r="A3449" t="s">
        <v>5514</v>
      </c>
      <c r="B3449" t="s">
        <v>147</v>
      </c>
      <c r="C3449" t="s">
        <v>147</v>
      </c>
      <c r="D3449" t="s">
        <v>5515</v>
      </c>
      <c r="E3449" t="s">
        <v>3665</v>
      </c>
      <c r="F3449" t="s">
        <v>121</v>
      </c>
      <c r="G3449" t="s">
        <v>381</v>
      </c>
      <c r="H3449" t="s">
        <v>159</v>
      </c>
      <c r="I3449" t="s">
        <v>151</v>
      </c>
      <c r="J3449" s="96">
        <v>46125</v>
      </c>
      <c r="K3449" s="6">
        <v>46125</v>
      </c>
      <c r="L3449" s="6" t="s">
        <v>4</v>
      </c>
      <c r="M3449" t="s">
        <v>153</v>
      </c>
      <c r="N3449" t="s">
        <v>154</v>
      </c>
      <c r="O3449" s="64">
        <v>157162.23000000001</v>
      </c>
      <c r="P3449" s="64">
        <v>0</v>
      </c>
      <c r="Q3449" s="64">
        <v>0</v>
      </c>
      <c r="R3449" s="64">
        <v>157162.23000000001</v>
      </c>
      <c r="S3449" t="s">
        <v>155</v>
      </c>
    </row>
    <row r="3450" spans="1:19" x14ac:dyDescent="0.3">
      <c r="A3450" t="s">
        <v>5516</v>
      </c>
      <c r="B3450" t="s">
        <v>147</v>
      </c>
      <c r="C3450" t="s">
        <v>147</v>
      </c>
      <c r="D3450" t="s">
        <v>5517</v>
      </c>
      <c r="E3450" t="s">
        <v>3665</v>
      </c>
      <c r="F3450" t="s">
        <v>121</v>
      </c>
      <c r="G3450" t="s">
        <v>181</v>
      </c>
      <c r="H3450" t="s">
        <v>182</v>
      </c>
      <c r="I3450" t="s">
        <v>151</v>
      </c>
      <c r="J3450" s="96">
        <v>46125</v>
      </c>
      <c r="K3450" s="6">
        <v>46125</v>
      </c>
      <c r="L3450" s="6" t="s">
        <v>4</v>
      </c>
      <c r="M3450" t="s">
        <v>153</v>
      </c>
      <c r="N3450" t="s">
        <v>154</v>
      </c>
      <c r="O3450" s="64">
        <v>13060</v>
      </c>
      <c r="P3450" s="64">
        <v>0</v>
      </c>
      <c r="Q3450" s="64">
        <v>0</v>
      </c>
      <c r="R3450" s="64">
        <v>13060</v>
      </c>
      <c r="S3450" t="s">
        <v>155</v>
      </c>
    </row>
    <row r="3451" spans="1:19" x14ac:dyDescent="0.3">
      <c r="A3451" t="s">
        <v>5518</v>
      </c>
      <c r="B3451" t="s">
        <v>147</v>
      </c>
      <c r="C3451" t="s">
        <v>147</v>
      </c>
      <c r="D3451" t="s">
        <v>675</v>
      </c>
      <c r="E3451" t="s">
        <v>18</v>
      </c>
      <c r="F3451" t="s">
        <v>115</v>
      </c>
      <c r="G3451" t="s">
        <v>158</v>
      </c>
      <c r="H3451" t="s">
        <v>159</v>
      </c>
      <c r="I3451" t="s">
        <v>151</v>
      </c>
      <c r="J3451" s="96">
        <v>46126</v>
      </c>
      <c r="K3451" s="6">
        <v>46126</v>
      </c>
      <c r="L3451" s="6" t="s">
        <v>4</v>
      </c>
      <c r="M3451" t="s">
        <v>153</v>
      </c>
      <c r="N3451" t="s">
        <v>154</v>
      </c>
      <c r="O3451" s="64">
        <v>7.49</v>
      </c>
      <c r="P3451" s="64">
        <v>0</v>
      </c>
      <c r="Q3451" s="64">
        <v>0</v>
      </c>
      <c r="R3451" s="64">
        <v>7.49</v>
      </c>
      <c r="S3451" t="s">
        <v>155</v>
      </c>
    </row>
    <row r="3452" spans="1:19" x14ac:dyDescent="0.3">
      <c r="A3452" t="s">
        <v>5519</v>
      </c>
      <c r="B3452" t="s">
        <v>147</v>
      </c>
      <c r="C3452" t="s">
        <v>147</v>
      </c>
      <c r="D3452" t="s">
        <v>5520</v>
      </c>
      <c r="E3452" t="s">
        <v>35</v>
      </c>
      <c r="F3452" t="s">
        <v>17</v>
      </c>
      <c r="G3452" t="s">
        <v>158</v>
      </c>
      <c r="H3452" t="s">
        <v>159</v>
      </c>
      <c r="I3452" t="s">
        <v>151</v>
      </c>
      <c r="J3452" s="96">
        <v>46126</v>
      </c>
      <c r="K3452" s="6">
        <v>46126</v>
      </c>
      <c r="L3452" s="6" t="s">
        <v>4</v>
      </c>
      <c r="M3452" t="s">
        <v>153</v>
      </c>
      <c r="N3452" t="s">
        <v>154</v>
      </c>
      <c r="O3452" s="64">
        <v>354.8</v>
      </c>
      <c r="P3452" s="64">
        <v>0</v>
      </c>
      <c r="Q3452" s="64">
        <v>0</v>
      </c>
      <c r="R3452" s="64">
        <v>354.8</v>
      </c>
      <c r="S3452" t="s">
        <v>155</v>
      </c>
    </row>
    <row r="3453" spans="1:19" x14ac:dyDescent="0.3">
      <c r="A3453" t="s">
        <v>5521</v>
      </c>
      <c r="B3453" t="s">
        <v>147</v>
      </c>
      <c r="C3453" t="s">
        <v>147</v>
      </c>
      <c r="D3453" t="s">
        <v>5522</v>
      </c>
      <c r="E3453" t="s">
        <v>35</v>
      </c>
      <c r="F3453" t="s">
        <v>17</v>
      </c>
      <c r="G3453" t="s">
        <v>158</v>
      </c>
      <c r="H3453" t="s">
        <v>159</v>
      </c>
      <c r="I3453" t="s">
        <v>151</v>
      </c>
      <c r="J3453" s="96">
        <v>46126</v>
      </c>
      <c r="K3453" s="6">
        <v>46126</v>
      </c>
      <c r="L3453" s="6" t="s">
        <v>4</v>
      </c>
      <c r="M3453" t="s">
        <v>153</v>
      </c>
      <c r="N3453" t="s">
        <v>154</v>
      </c>
      <c r="O3453" s="64">
        <v>748.57</v>
      </c>
      <c r="P3453" s="64">
        <v>0</v>
      </c>
      <c r="Q3453" s="64">
        <v>0</v>
      </c>
      <c r="R3453" s="64">
        <v>748.57</v>
      </c>
      <c r="S3453" t="s">
        <v>155</v>
      </c>
    </row>
    <row r="3454" spans="1:19" x14ac:dyDescent="0.3">
      <c r="A3454" t="s">
        <v>5523</v>
      </c>
      <c r="B3454" t="s">
        <v>147</v>
      </c>
      <c r="C3454" t="s">
        <v>147</v>
      </c>
      <c r="D3454" t="s">
        <v>2760</v>
      </c>
      <c r="E3454" t="s">
        <v>46</v>
      </c>
      <c r="F3454" t="s">
        <v>29</v>
      </c>
      <c r="G3454" t="s">
        <v>177</v>
      </c>
      <c r="H3454" t="s">
        <v>167</v>
      </c>
      <c r="I3454" t="s">
        <v>151</v>
      </c>
      <c r="J3454" s="96">
        <v>46126</v>
      </c>
      <c r="K3454" s="6">
        <v>46126</v>
      </c>
      <c r="L3454" s="6" t="s">
        <v>4</v>
      </c>
      <c r="M3454" t="s">
        <v>153</v>
      </c>
      <c r="N3454" t="s">
        <v>154</v>
      </c>
      <c r="O3454" s="64">
        <v>5.94</v>
      </c>
      <c r="P3454" s="64">
        <v>0</v>
      </c>
      <c r="Q3454" s="64">
        <v>0</v>
      </c>
      <c r="R3454" s="64">
        <v>5.94</v>
      </c>
      <c r="S3454" t="s">
        <v>155</v>
      </c>
    </row>
    <row r="3455" spans="1:19" x14ac:dyDescent="0.3">
      <c r="A3455" t="s">
        <v>5524</v>
      </c>
      <c r="B3455" t="s">
        <v>147</v>
      </c>
      <c r="C3455" t="s">
        <v>147</v>
      </c>
      <c r="D3455" t="s">
        <v>2760</v>
      </c>
      <c r="E3455" t="s">
        <v>46</v>
      </c>
      <c r="F3455" t="s">
        <v>29</v>
      </c>
      <c r="G3455" t="s">
        <v>177</v>
      </c>
      <c r="H3455" t="s">
        <v>167</v>
      </c>
      <c r="I3455" t="s">
        <v>151</v>
      </c>
      <c r="J3455" s="96">
        <v>46126</v>
      </c>
      <c r="K3455" s="6">
        <v>46126</v>
      </c>
      <c r="L3455" s="6" t="s">
        <v>4</v>
      </c>
      <c r="M3455" t="s">
        <v>153</v>
      </c>
      <c r="N3455" t="s">
        <v>154</v>
      </c>
      <c r="O3455" s="64">
        <v>6.26</v>
      </c>
      <c r="P3455" s="64">
        <v>0</v>
      </c>
      <c r="Q3455" s="64">
        <v>0</v>
      </c>
      <c r="R3455" s="64">
        <v>6.26</v>
      </c>
      <c r="S3455" t="s">
        <v>155</v>
      </c>
    </row>
    <row r="3456" spans="1:19" x14ac:dyDescent="0.3">
      <c r="A3456" t="s">
        <v>5525</v>
      </c>
      <c r="B3456" t="s">
        <v>147</v>
      </c>
      <c r="C3456" t="s">
        <v>147</v>
      </c>
      <c r="D3456" t="s">
        <v>5526</v>
      </c>
      <c r="E3456" t="s">
        <v>46</v>
      </c>
      <c r="F3456" t="s">
        <v>29</v>
      </c>
      <c r="G3456" t="s">
        <v>177</v>
      </c>
      <c r="H3456" t="s">
        <v>159</v>
      </c>
      <c r="I3456" t="s">
        <v>151</v>
      </c>
      <c r="J3456" s="96">
        <v>46126</v>
      </c>
      <c r="K3456" s="6">
        <v>46126</v>
      </c>
      <c r="L3456" s="6" t="s">
        <v>4</v>
      </c>
      <c r="M3456" t="s">
        <v>153</v>
      </c>
      <c r="N3456" t="s">
        <v>154</v>
      </c>
      <c r="O3456" s="64">
        <v>13.5</v>
      </c>
      <c r="P3456" s="64">
        <v>0</v>
      </c>
      <c r="Q3456" s="64">
        <v>0</v>
      </c>
      <c r="R3456" s="64">
        <v>13.5</v>
      </c>
      <c r="S3456" t="s">
        <v>155</v>
      </c>
    </row>
    <row r="3457" spans="1:19" x14ac:dyDescent="0.3">
      <c r="A3457" t="s">
        <v>5527</v>
      </c>
      <c r="B3457" t="s">
        <v>147</v>
      </c>
      <c r="C3457" t="s">
        <v>147</v>
      </c>
      <c r="D3457" t="s">
        <v>4630</v>
      </c>
      <c r="E3457" t="s">
        <v>3559</v>
      </c>
      <c r="F3457" t="s">
        <v>17</v>
      </c>
      <c r="G3457" t="s">
        <v>181</v>
      </c>
      <c r="H3457" t="s">
        <v>182</v>
      </c>
      <c r="I3457" t="s">
        <v>151</v>
      </c>
      <c r="J3457" s="96">
        <v>46127</v>
      </c>
      <c r="K3457" s="6">
        <v>46127</v>
      </c>
      <c r="L3457" s="6" t="s">
        <v>4</v>
      </c>
      <c r="M3457" t="s">
        <v>153</v>
      </c>
      <c r="N3457" t="s">
        <v>154</v>
      </c>
      <c r="O3457" s="64">
        <v>20</v>
      </c>
      <c r="P3457" s="64">
        <v>0</v>
      </c>
      <c r="Q3457" s="64">
        <v>0</v>
      </c>
      <c r="R3457" s="64">
        <v>20</v>
      </c>
      <c r="S3457" t="s">
        <v>155</v>
      </c>
    </row>
    <row r="3458" spans="1:19" x14ac:dyDescent="0.3">
      <c r="A3458" t="s">
        <v>5528</v>
      </c>
      <c r="B3458" t="s">
        <v>147</v>
      </c>
      <c r="C3458" t="s">
        <v>147</v>
      </c>
      <c r="D3458" t="s">
        <v>5529</v>
      </c>
      <c r="E3458" t="s">
        <v>72</v>
      </c>
      <c r="F3458" t="s">
        <v>17</v>
      </c>
      <c r="G3458" t="s">
        <v>304</v>
      </c>
      <c r="H3458" t="s">
        <v>278</v>
      </c>
      <c r="I3458" t="s">
        <v>151</v>
      </c>
      <c r="J3458" s="96">
        <v>46127</v>
      </c>
      <c r="K3458" s="6">
        <v>46127</v>
      </c>
      <c r="L3458" s="6" t="s">
        <v>4</v>
      </c>
      <c r="M3458" t="s">
        <v>153</v>
      </c>
      <c r="N3458" t="s">
        <v>154</v>
      </c>
      <c r="O3458" s="64">
        <v>257.48</v>
      </c>
      <c r="P3458" s="64">
        <v>0</v>
      </c>
      <c r="Q3458" s="64">
        <v>0</v>
      </c>
      <c r="R3458" s="64">
        <v>257.48</v>
      </c>
      <c r="S3458" t="s">
        <v>155</v>
      </c>
    </row>
    <row r="3459" spans="1:19" x14ac:dyDescent="0.3">
      <c r="A3459" t="s">
        <v>5530</v>
      </c>
      <c r="B3459" t="s">
        <v>147</v>
      </c>
      <c r="C3459" t="s">
        <v>147</v>
      </c>
      <c r="D3459" t="s">
        <v>2573</v>
      </c>
      <c r="E3459" t="s">
        <v>39</v>
      </c>
      <c r="F3459" t="s">
        <v>29</v>
      </c>
      <c r="G3459" t="s">
        <v>177</v>
      </c>
      <c r="H3459" t="s">
        <v>159</v>
      </c>
      <c r="I3459" t="s">
        <v>151</v>
      </c>
      <c r="J3459" s="96">
        <v>46127</v>
      </c>
      <c r="K3459" s="6">
        <v>46127</v>
      </c>
      <c r="L3459" s="6" t="s">
        <v>4</v>
      </c>
      <c r="M3459" t="s">
        <v>153</v>
      </c>
      <c r="N3459" t="s">
        <v>154</v>
      </c>
      <c r="O3459" s="64">
        <v>3.54</v>
      </c>
      <c r="P3459" s="64">
        <v>0</v>
      </c>
      <c r="Q3459" s="64">
        <v>0</v>
      </c>
      <c r="R3459" s="64">
        <v>3.54</v>
      </c>
      <c r="S3459" t="s">
        <v>155</v>
      </c>
    </row>
    <row r="3460" spans="1:19" x14ac:dyDescent="0.3">
      <c r="A3460" t="s">
        <v>5531</v>
      </c>
      <c r="B3460" t="s">
        <v>147</v>
      </c>
      <c r="C3460" t="s">
        <v>147</v>
      </c>
      <c r="D3460" t="s">
        <v>5532</v>
      </c>
      <c r="E3460" t="s">
        <v>31</v>
      </c>
      <c r="F3460" t="s">
        <v>121</v>
      </c>
      <c r="G3460" t="s">
        <v>158</v>
      </c>
      <c r="H3460" t="s">
        <v>159</v>
      </c>
      <c r="I3460" t="s">
        <v>151</v>
      </c>
      <c r="J3460" s="96">
        <v>46128</v>
      </c>
      <c r="K3460" s="6">
        <v>46128</v>
      </c>
      <c r="L3460" s="6" t="s">
        <v>4</v>
      </c>
      <c r="M3460" t="s">
        <v>153</v>
      </c>
      <c r="N3460" t="s">
        <v>154</v>
      </c>
      <c r="O3460" s="64">
        <v>2115.67</v>
      </c>
      <c r="P3460" s="64">
        <v>0</v>
      </c>
      <c r="Q3460" s="64">
        <v>0</v>
      </c>
      <c r="R3460" s="64">
        <v>2115.67</v>
      </c>
      <c r="S3460" t="s">
        <v>155</v>
      </c>
    </row>
    <row r="3461" spans="1:19" x14ac:dyDescent="0.3">
      <c r="A3461" t="s">
        <v>5533</v>
      </c>
      <c r="B3461" t="s">
        <v>147</v>
      </c>
      <c r="C3461" t="s">
        <v>147</v>
      </c>
      <c r="D3461" t="s">
        <v>5534</v>
      </c>
      <c r="E3461" t="s">
        <v>72</v>
      </c>
      <c r="F3461" t="s">
        <v>17</v>
      </c>
      <c r="G3461" t="s">
        <v>158</v>
      </c>
      <c r="H3461" t="s">
        <v>159</v>
      </c>
      <c r="I3461" t="s">
        <v>151</v>
      </c>
      <c r="J3461" s="96">
        <v>46128</v>
      </c>
      <c r="K3461" s="6">
        <v>46128</v>
      </c>
      <c r="L3461" s="6" t="s">
        <v>4</v>
      </c>
      <c r="M3461" t="s">
        <v>153</v>
      </c>
      <c r="N3461" t="s">
        <v>154</v>
      </c>
      <c r="O3461" s="64">
        <v>163.28</v>
      </c>
      <c r="P3461" s="64">
        <v>0</v>
      </c>
      <c r="Q3461" s="64">
        <v>0</v>
      </c>
      <c r="R3461" s="64">
        <v>163.28</v>
      </c>
      <c r="S3461" t="s">
        <v>155</v>
      </c>
    </row>
    <row r="3462" spans="1:19" x14ac:dyDescent="0.3">
      <c r="A3462" t="s">
        <v>5535</v>
      </c>
      <c r="B3462" t="s">
        <v>147</v>
      </c>
      <c r="C3462" t="s">
        <v>147</v>
      </c>
      <c r="D3462" t="s">
        <v>449</v>
      </c>
      <c r="E3462" t="s">
        <v>18</v>
      </c>
      <c r="F3462" t="s">
        <v>115</v>
      </c>
      <c r="G3462" t="s">
        <v>158</v>
      </c>
      <c r="H3462" t="s">
        <v>159</v>
      </c>
      <c r="I3462" t="s">
        <v>151</v>
      </c>
      <c r="J3462" s="96">
        <v>46128</v>
      </c>
      <c r="K3462" s="6">
        <v>46128</v>
      </c>
      <c r="L3462" s="6" t="s">
        <v>4</v>
      </c>
      <c r="M3462" t="s">
        <v>153</v>
      </c>
      <c r="N3462" t="s">
        <v>154</v>
      </c>
      <c r="O3462" s="64">
        <v>28</v>
      </c>
      <c r="P3462" s="64">
        <v>0</v>
      </c>
      <c r="Q3462" s="64">
        <v>0</v>
      </c>
      <c r="R3462" s="64">
        <v>28</v>
      </c>
      <c r="S3462" t="s">
        <v>155</v>
      </c>
    </row>
    <row r="3463" spans="1:19" x14ac:dyDescent="0.3">
      <c r="A3463" t="s">
        <v>5536</v>
      </c>
      <c r="B3463" t="s">
        <v>147</v>
      </c>
      <c r="C3463" t="s">
        <v>147</v>
      </c>
      <c r="D3463" t="s">
        <v>5537</v>
      </c>
      <c r="E3463" t="s">
        <v>3665</v>
      </c>
      <c r="F3463" t="s">
        <v>121</v>
      </c>
      <c r="G3463" t="s">
        <v>213</v>
      </c>
      <c r="H3463" t="s">
        <v>167</v>
      </c>
      <c r="I3463" t="s">
        <v>151</v>
      </c>
      <c r="J3463" s="96">
        <v>46128</v>
      </c>
      <c r="K3463" s="6">
        <v>46128</v>
      </c>
      <c r="L3463" s="6" t="s">
        <v>4</v>
      </c>
      <c r="M3463" t="s">
        <v>153</v>
      </c>
      <c r="N3463" t="s">
        <v>154</v>
      </c>
      <c r="O3463" s="64">
        <v>27040.53</v>
      </c>
      <c r="P3463" s="64">
        <v>0</v>
      </c>
      <c r="Q3463" s="64">
        <v>0</v>
      </c>
      <c r="R3463" s="64">
        <v>27040.53</v>
      </c>
      <c r="S3463" t="s">
        <v>155</v>
      </c>
    </row>
    <row r="3464" spans="1:19" x14ac:dyDescent="0.3">
      <c r="A3464" t="s">
        <v>5538</v>
      </c>
      <c r="B3464" t="s">
        <v>147</v>
      </c>
      <c r="C3464" t="s">
        <v>147</v>
      </c>
      <c r="D3464" t="s">
        <v>5539</v>
      </c>
      <c r="E3464" t="s">
        <v>3665</v>
      </c>
      <c r="F3464" t="s">
        <v>121</v>
      </c>
      <c r="G3464" t="s">
        <v>213</v>
      </c>
      <c r="H3464" t="s">
        <v>150</v>
      </c>
      <c r="I3464" t="s">
        <v>151</v>
      </c>
      <c r="J3464" s="96">
        <v>46128</v>
      </c>
      <c r="K3464" s="6">
        <v>46128</v>
      </c>
      <c r="L3464" s="6" t="s">
        <v>4</v>
      </c>
      <c r="M3464" t="s">
        <v>153</v>
      </c>
      <c r="N3464" t="s">
        <v>154</v>
      </c>
      <c r="O3464" s="64">
        <v>27040.53</v>
      </c>
      <c r="P3464" s="64">
        <v>0</v>
      </c>
      <c r="Q3464" s="64">
        <v>0</v>
      </c>
      <c r="R3464" s="64">
        <v>27040.53</v>
      </c>
      <c r="S3464" t="s">
        <v>155</v>
      </c>
    </row>
    <row r="3465" spans="1:19" x14ac:dyDescent="0.3">
      <c r="A3465" t="s">
        <v>5540</v>
      </c>
      <c r="B3465" t="s">
        <v>147</v>
      </c>
      <c r="C3465" t="s">
        <v>147</v>
      </c>
      <c r="D3465" t="s">
        <v>5541</v>
      </c>
      <c r="E3465" t="s">
        <v>3665</v>
      </c>
      <c r="F3465" t="s">
        <v>121</v>
      </c>
      <c r="G3465" t="s">
        <v>213</v>
      </c>
      <c r="H3465" t="s">
        <v>150</v>
      </c>
      <c r="I3465" t="s">
        <v>151</v>
      </c>
      <c r="J3465" s="96">
        <v>46128</v>
      </c>
      <c r="K3465" s="6">
        <v>46128</v>
      </c>
      <c r="L3465" s="6" t="s">
        <v>4</v>
      </c>
      <c r="M3465" t="s">
        <v>153</v>
      </c>
      <c r="N3465" t="s">
        <v>154</v>
      </c>
      <c r="O3465" s="64">
        <v>27040.53</v>
      </c>
      <c r="P3465" s="64">
        <v>0</v>
      </c>
      <c r="Q3465" s="64">
        <v>0</v>
      </c>
      <c r="R3465" s="64">
        <v>27040.53</v>
      </c>
      <c r="S3465" t="s">
        <v>155</v>
      </c>
    </row>
    <row r="3466" spans="1:19" x14ac:dyDescent="0.3">
      <c r="A3466" t="s">
        <v>5542</v>
      </c>
      <c r="B3466" t="s">
        <v>147</v>
      </c>
      <c r="C3466" t="s">
        <v>147</v>
      </c>
      <c r="D3466" t="s">
        <v>5543</v>
      </c>
      <c r="E3466" t="s">
        <v>3665</v>
      </c>
      <c r="F3466" t="s">
        <v>121</v>
      </c>
      <c r="G3466" t="s">
        <v>213</v>
      </c>
      <c r="H3466" t="s">
        <v>159</v>
      </c>
      <c r="I3466" t="s">
        <v>151</v>
      </c>
      <c r="J3466" s="96">
        <v>46128</v>
      </c>
      <c r="K3466" s="6">
        <v>46128</v>
      </c>
      <c r="L3466" s="6" t="s">
        <v>4</v>
      </c>
      <c r="M3466" t="s">
        <v>153</v>
      </c>
      <c r="N3466" t="s">
        <v>154</v>
      </c>
      <c r="O3466" s="64">
        <v>40560.79</v>
      </c>
      <c r="P3466" s="64">
        <v>0</v>
      </c>
      <c r="Q3466" s="64">
        <v>0</v>
      </c>
      <c r="R3466" s="64">
        <v>40560.79</v>
      </c>
      <c r="S3466" t="s">
        <v>155</v>
      </c>
    </row>
    <row r="3467" spans="1:19" x14ac:dyDescent="0.3">
      <c r="A3467" t="s">
        <v>5544</v>
      </c>
      <c r="B3467" t="s">
        <v>147</v>
      </c>
      <c r="C3467" t="s">
        <v>147</v>
      </c>
      <c r="D3467" t="s">
        <v>5545</v>
      </c>
      <c r="E3467" t="s">
        <v>3665</v>
      </c>
      <c r="F3467" t="s">
        <v>121</v>
      </c>
      <c r="G3467" t="s">
        <v>213</v>
      </c>
      <c r="H3467" t="s">
        <v>159</v>
      </c>
      <c r="I3467" t="s">
        <v>151</v>
      </c>
      <c r="J3467" s="96">
        <v>46128</v>
      </c>
      <c r="K3467" s="6">
        <v>46128</v>
      </c>
      <c r="L3467" s="6" t="s">
        <v>4</v>
      </c>
      <c r="M3467" t="s">
        <v>153</v>
      </c>
      <c r="N3467" t="s">
        <v>154</v>
      </c>
      <c r="O3467" s="64">
        <v>40560.79</v>
      </c>
      <c r="P3467" s="64">
        <v>0</v>
      </c>
      <c r="Q3467" s="64">
        <v>0</v>
      </c>
      <c r="R3467" s="64">
        <v>40560.79</v>
      </c>
      <c r="S3467" t="s">
        <v>155</v>
      </c>
    </row>
    <row r="3468" spans="1:19" x14ac:dyDescent="0.3">
      <c r="A3468" t="s">
        <v>5546</v>
      </c>
      <c r="B3468" t="s">
        <v>147</v>
      </c>
      <c r="C3468" t="s">
        <v>147</v>
      </c>
      <c r="D3468" t="s">
        <v>5547</v>
      </c>
      <c r="E3468" t="s">
        <v>3665</v>
      </c>
      <c r="F3468" t="s">
        <v>121</v>
      </c>
      <c r="G3468" t="s">
        <v>213</v>
      </c>
      <c r="H3468" t="s">
        <v>159</v>
      </c>
      <c r="I3468" t="s">
        <v>151</v>
      </c>
      <c r="J3468" s="96">
        <v>46128</v>
      </c>
      <c r="K3468" s="6">
        <v>46128</v>
      </c>
      <c r="L3468" s="6" t="s">
        <v>4</v>
      </c>
      <c r="M3468" t="s">
        <v>153</v>
      </c>
      <c r="N3468" t="s">
        <v>154</v>
      </c>
      <c r="O3468" s="64">
        <v>40560.79</v>
      </c>
      <c r="P3468" s="64">
        <v>0</v>
      </c>
      <c r="Q3468" s="64">
        <v>0</v>
      </c>
      <c r="R3468" s="64">
        <v>40560.79</v>
      </c>
      <c r="S3468" t="s">
        <v>155</v>
      </c>
    </row>
    <row r="3469" spans="1:19" x14ac:dyDescent="0.3">
      <c r="A3469" t="s">
        <v>5548</v>
      </c>
      <c r="B3469" t="s">
        <v>147</v>
      </c>
      <c r="C3469" t="s">
        <v>147</v>
      </c>
      <c r="D3469" t="s">
        <v>2760</v>
      </c>
      <c r="E3469" t="s">
        <v>46</v>
      </c>
      <c r="F3469" t="s">
        <v>29</v>
      </c>
      <c r="G3469" t="s">
        <v>177</v>
      </c>
      <c r="H3469" t="s">
        <v>167</v>
      </c>
      <c r="I3469" t="s">
        <v>151</v>
      </c>
      <c r="J3469" s="96">
        <v>46128</v>
      </c>
      <c r="K3469" s="6">
        <v>46128</v>
      </c>
      <c r="L3469" s="6" t="s">
        <v>4</v>
      </c>
      <c r="M3469" t="s">
        <v>153</v>
      </c>
      <c r="N3469" t="s">
        <v>154</v>
      </c>
      <c r="O3469" s="64">
        <v>5.94</v>
      </c>
      <c r="P3469" s="64">
        <v>0</v>
      </c>
      <c r="Q3469" s="64">
        <v>0</v>
      </c>
      <c r="R3469" s="64">
        <v>5.94</v>
      </c>
      <c r="S3469" t="s">
        <v>155</v>
      </c>
    </row>
    <row r="3470" spans="1:19" x14ac:dyDescent="0.3">
      <c r="A3470" t="s">
        <v>5549</v>
      </c>
      <c r="B3470" t="s">
        <v>147</v>
      </c>
      <c r="C3470" t="s">
        <v>147</v>
      </c>
      <c r="D3470" t="s">
        <v>2760</v>
      </c>
      <c r="E3470" t="s">
        <v>46</v>
      </c>
      <c r="F3470" t="s">
        <v>29</v>
      </c>
      <c r="G3470" t="s">
        <v>177</v>
      </c>
      <c r="H3470" t="s">
        <v>159</v>
      </c>
      <c r="I3470" t="s">
        <v>151</v>
      </c>
      <c r="J3470" s="96">
        <v>46128</v>
      </c>
      <c r="K3470" s="6">
        <v>46128</v>
      </c>
      <c r="L3470" s="6" t="s">
        <v>4</v>
      </c>
      <c r="M3470" t="s">
        <v>153</v>
      </c>
      <c r="N3470" t="s">
        <v>154</v>
      </c>
      <c r="O3470" s="64">
        <v>3.13</v>
      </c>
      <c r="P3470" s="64">
        <v>0</v>
      </c>
      <c r="Q3470" s="64">
        <v>0</v>
      </c>
      <c r="R3470" s="64">
        <v>3.13</v>
      </c>
      <c r="S3470" t="s">
        <v>155</v>
      </c>
    </row>
    <row r="3471" spans="1:19" x14ac:dyDescent="0.3">
      <c r="A3471" t="s">
        <v>5550</v>
      </c>
      <c r="B3471" t="s">
        <v>147</v>
      </c>
      <c r="C3471" t="s">
        <v>147</v>
      </c>
      <c r="D3471" t="s">
        <v>4079</v>
      </c>
      <c r="E3471" t="s">
        <v>85</v>
      </c>
      <c r="F3471" t="s">
        <v>17</v>
      </c>
      <c r="G3471" t="s">
        <v>213</v>
      </c>
      <c r="H3471" t="s">
        <v>167</v>
      </c>
      <c r="I3471" t="s">
        <v>151</v>
      </c>
      <c r="J3471" s="96">
        <v>46129</v>
      </c>
      <c r="K3471" s="6">
        <v>46129</v>
      </c>
      <c r="L3471" s="6" t="s">
        <v>4</v>
      </c>
      <c r="M3471" t="s">
        <v>153</v>
      </c>
      <c r="N3471" t="s">
        <v>154</v>
      </c>
      <c r="O3471" s="64">
        <v>1192.5</v>
      </c>
      <c r="P3471" s="64">
        <v>0</v>
      </c>
      <c r="Q3471" s="64">
        <v>0</v>
      </c>
      <c r="R3471" s="64">
        <v>1192.5</v>
      </c>
      <c r="S3471" t="s">
        <v>155</v>
      </c>
    </row>
    <row r="3472" spans="1:19" x14ac:dyDescent="0.3">
      <c r="A3472" t="s">
        <v>5551</v>
      </c>
      <c r="B3472" t="s">
        <v>147</v>
      </c>
      <c r="C3472" t="s">
        <v>147</v>
      </c>
      <c r="D3472" t="s">
        <v>3394</v>
      </c>
      <c r="E3472" t="s">
        <v>87</v>
      </c>
      <c r="F3472" t="s">
        <v>17</v>
      </c>
      <c r="G3472" t="s">
        <v>158</v>
      </c>
      <c r="H3472" t="s">
        <v>159</v>
      </c>
      <c r="I3472" t="s">
        <v>151</v>
      </c>
      <c r="J3472" s="96">
        <v>46129</v>
      </c>
      <c r="K3472" s="6">
        <v>46129</v>
      </c>
      <c r="L3472" s="6" t="s">
        <v>4</v>
      </c>
      <c r="M3472" t="s">
        <v>153</v>
      </c>
      <c r="N3472" t="s">
        <v>154</v>
      </c>
      <c r="O3472" s="64">
        <v>15.95</v>
      </c>
      <c r="P3472" s="64">
        <v>0</v>
      </c>
      <c r="Q3472" s="64">
        <v>0</v>
      </c>
      <c r="R3472" s="64">
        <v>15.95</v>
      </c>
      <c r="S3472" t="s">
        <v>155</v>
      </c>
    </row>
    <row r="3473" spans="1:19" x14ac:dyDescent="0.3">
      <c r="A3473" t="s">
        <v>5552</v>
      </c>
      <c r="B3473" t="s">
        <v>147</v>
      </c>
      <c r="C3473" t="s">
        <v>147</v>
      </c>
      <c r="D3473" t="s">
        <v>5553</v>
      </c>
      <c r="E3473" t="s">
        <v>21</v>
      </c>
      <c r="F3473" t="s">
        <v>17</v>
      </c>
      <c r="G3473" t="s">
        <v>4253</v>
      </c>
      <c r="H3473" t="s">
        <v>4254</v>
      </c>
      <c r="I3473" t="s">
        <v>151</v>
      </c>
      <c r="J3473" s="96">
        <v>46129</v>
      </c>
      <c r="K3473" s="6">
        <v>46129</v>
      </c>
      <c r="L3473" s="6" t="s">
        <v>4</v>
      </c>
      <c r="M3473" t="s">
        <v>153</v>
      </c>
      <c r="N3473" t="s">
        <v>154</v>
      </c>
      <c r="O3473" s="64">
        <v>3600</v>
      </c>
      <c r="P3473" s="64">
        <v>0</v>
      </c>
      <c r="Q3473" s="64">
        <v>0</v>
      </c>
      <c r="R3473" s="64">
        <v>3600</v>
      </c>
      <c r="S3473" t="s">
        <v>155</v>
      </c>
    </row>
    <row r="3474" spans="1:19" x14ac:dyDescent="0.3">
      <c r="A3474" t="s">
        <v>5554</v>
      </c>
      <c r="B3474" t="s">
        <v>147</v>
      </c>
      <c r="C3474" t="s">
        <v>147</v>
      </c>
      <c r="D3474" t="s">
        <v>4762</v>
      </c>
      <c r="E3474" t="s">
        <v>90</v>
      </c>
      <c r="F3474" t="s">
        <v>29</v>
      </c>
      <c r="G3474" t="s">
        <v>158</v>
      </c>
      <c r="H3474" t="s">
        <v>159</v>
      </c>
      <c r="I3474" t="s">
        <v>151</v>
      </c>
      <c r="J3474" s="96">
        <v>46129</v>
      </c>
      <c r="K3474" s="6">
        <v>46129</v>
      </c>
      <c r="L3474" s="6" t="s">
        <v>4</v>
      </c>
      <c r="M3474" t="s">
        <v>153</v>
      </c>
      <c r="N3474" t="s">
        <v>154</v>
      </c>
      <c r="O3474" s="64">
        <v>4469.88</v>
      </c>
      <c r="P3474" s="64">
        <v>0</v>
      </c>
      <c r="Q3474" s="64">
        <v>0</v>
      </c>
      <c r="R3474" s="64">
        <v>4469.88</v>
      </c>
      <c r="S3474" t="s">
        <v>155</v>
      </c>
    </row>
    <row r="3475" spans="1:19" x14ac:dyDescent="0.3">
      <c r="A3475" t="s">
        <v>5555</v>
      </c>
      <c r="B3475" t="s">
        <v>147</v>
      </c>
      <c r="C3475" t="s">
        <v>147</v>
      </c>
      <c r="D3475" t="s">
        <v>5556</v>
      </c>
      <c r="E3475" t="s">
        <v>81</v>
      </c>
      <c r="F3475" t="s">
        <v>126</v>
      </c>
      <c r="G3475" t="s">
        <v>2437</v>
      </c>
      <c r="H3475" t="s">
        <v>4029</v>
      </c>
      <c r="I3475" t="s">
        <v>151</v>
      </c>
      <c r="J3475" s="96">
        <v>46129</v>
      </c>
      <c r="K3475" s="6">
        <v>46129</v>
      </c>
      <c r="L3475" s="6" t="s">
        <v>4</v>
      </c>
      <c r="M3475" t="s">
        <v>153</v>
      </c>
      <c r="N3475" t="s">
        <v>154</v>
      </c>
      <c r="O3475" s="64">
        <v>80161.69</v>
      </c>
      <c r="P3475" s="64">
        <v>0</v>
      </c>
      <c r="Q3475" s="64">
        <v>0</v>
      </c>
      <c r="R3475" s="64">
        <v>80161.69</v>
      </c>
      <c r="S3475" t="s">
        <v>155</v>
      </c>
    </row>
    <row r="3476" spans="1:19" x14ac:dyDescent="0.3">
      <c r="A3476" t="s">
        <v>5557</v>
      </c>
      <c r="B3476" t="s">
        <v>147</v>
      </c>
      <c r="C3476" t="s">
        <v>147</v>
      </c>
      <c r="D3476" t="s">
        <v>5558</v>
      </c>
      <c r="E3476" t="s">
        <v>14</v>
      </c>
      <c r="F3476" t="s">
        <v>15</v>
      </c>
      <c r="G3476" t="s">
        <v>304</v>
      </c>
      <c r="H3476" t="s">
        <v>278</v>
      </c>
      <c r="I3476" t="s">
        <v>151</v>
      </c>
      <c r="J3476" s="96">
        <v>46129</v>
      </c>
      <c r="K3476" s="6">
        <v>46129</v>
      </c>
      <c r="L3476" s="6" t="s">
        <v>4</v>
      </c>
      <c r="M3476" t="s">
        <v>153</v>
      </c>
      <c r="N3476" t="s">
        <v>154</v>
      </c>
      <c r="O3476" s="64">
        <v>22000</v>
      </c>
      <c r="P3476" s="64">
        <v>0</v>
      </c>
      <c r="Q3476" s="64">
        <v>0</v>
      </c>
      <c r="R3476" s="64">
        <v>22000</v>
      </c>
      <c r="S3476" t="s">
        <v>155</v>
      </c>
    </row>
    <row r="3477" spans="1:19" x14ac:dyDescent="0.3">
      <c r="A3477" t="s">
        <v>5559</v>
      </c>
      <c r="B3477" t="s">
        <v>147</v>
      </c>
      <c r="C3477" t="s">
        <v>147</v>
      </c>
      <c r="D3477" t="s">
        <v>5560</v>
      </c>
      <c r="E3477" t="s">
        <v>87</v>
      </c>
      <c r="F3477" t="s">
        <v>17</v>
      </c>
      <c r="G3477" t="s">
        <v>158</v>
      </c>
      <c r="H3477" t="s">
        <v>159</v>
      </c>
      <c r="I3477" t="s">
        <v>151</v>
      </c>
      <c r="J3477" s="96">
        <v>46129</v>
      </c>
      <c r="K3477" s="6">
        <v>46129</v>
      </c>
      <c r="L3477" s="6" t="s">
        <v>4</v>
      </c>
      <c r="M3477" t="s">
        <v>153</v>
      </c>
      <c r="N3477" t="s">
        <v>154</v>
      </c>
      <c r="O3477" s="64">
        <v>15</v>
      </c>
      <c r="P3477" s="64">
        <v>0</v>
      </c>
      <c r="Q3477" s="64">
        <v>0</v>
      </c>
      <c r="R3477" s="64">
        <v>15</v>
      </c>
      <c r="S3477" t="s">
        <v>155</v>
      </c>
    </row>
    <row r="3478" spans="1:19" x14ac:dyDescent="0.3">
      <c r="A3478" t="s">
        <v>5561</v>
      </c>
      <c r="B3478" t="s">
        <v>147</v>
      </c>
      <c r="C3478" t="s">
        <v>147</v>
      </c>
      <c r="D3478" t="s">
        <v>32</v>
      </c>
      <c r="E3478" t="s">
        <v>32</v>
      </c>
      <c r="F3478" t="s">
        <v>115</v>
      </c>
      <c r="G3478" t="s">
        <v>158</v>
      </c>
      <c r="H3478" t="s">
        <v>159</v>
      </c>
      <c r="I3478" t="s">
        <v>151</v>
      </c>
      <c r="J3478" s="96">
        <v>46129</v>
      </c>
      <c r="K3478" s="6">
        <v>46129</v>
      </c>
      <c r="L3478" s="6" t="s">
        <v>4</v>
      </c>
      <c r="M3478" t="s">
        <v>153</v>
      </c>
      <c r="N3478" t="s">
        <v>154</v>
      </c>
      <c r="O3478" s="64">
        <v>1280</v>
      </c>
      <c r="P3478" s="64">
        <v>0</v>
      </c>
      <c r="Q3478" s="64">
        <v>0</v>
      </c>
      <c r="R3478" s="64">
        <v>1280</v>
      </c>
      <c r="S3478" t="s">
        <v>155</v>
      </c>
    </row>
    <row r="3479" spans="1:19" x14ac:dyDescent="0.3">
      <c r="A3479" t="s">
        <v>5562</v>
      </c>
      <c r="B3479" t="s">
        <v>147</v>
      </c>
      <c r="C3479" t="s">
        <v>147</v>
      </c>
      <c r="D3479" t="s">
        <v>2462</v>
      </c>
      <c r="E3479" t="s">
        <v>42</v>
      </c>
      <c r="F3479" t="s">
        <v>121</v>
      </c>
      <c r="G3479" t="s">
        <v>177</v>
      </c>
      <c r="H3479" t="s">
        <v>167</v>
      </c>
      <c r="I3479" t="s">
        <v>151</v>
      </c>
      <c r="J3479" s="96">
        <v>46129</v>
      </c>
      <c r="K3479" s="6">
        <v>46129</v>
      </c>
      <c r="L3479" s="6" t="s">
        <v>4</v>
      </c>
      <c r="M3479" t="s">
        <v>153</v>
      </c>
      <c r="N3479" t="s">
        <v>154</v>
      </c>
      <c r="O3479" s="64">
        <v>494.12</v>
      </c>
      <c r="P3479" s="64">
        <v>0</v>
      </c>
      <c r="Q3479" s="64">
        <v>0</v>
      </c>
      <c r="R3479" s="64">
        <v>494.12</v>
      </c>
      <c r="S3479" t="s">
        <v>155</v>
      </c>
    </row>
    <row r="3480" spans="1:19" x14ac:dyDescent="0.3">
      <c r="A3480" t="s">
        <v>5563</v>
      </c>
      <c r="B3480" t="s">
        <v>147</v>
      </c>
      <c r="C3480" t="s">
        <v>147</v>
      </c>
      <c r="D3480" t="s">
        <v>5564</v>
      </c>
      <c r="E3480" t="s">
        <v>46</v>
      </c>
      <c r="F3480" t="s">
        <v>29</v>
      </c>
      <c r="G3480" t="s">
        <v>177</v>
      </c>
      <c r="H3480" t="s">
        <v>159</v>
      </c>
      <c r="I3480" t="s">
        <v>151</v>
      </c>
      <c r="J3480" s="96">
        <v>46129</v>
      </c>
      <c r="K3480" s="6">
        <v>46129</v>
      </c>
      <c r="L3480" s="6" t="s">
        <v>4</v>
      </c>
      <c r="M3480" t="s">
        <v>153</v>
      </c>
      <c r="N3480" t="s">
        <v>154</v>
      </c>
      <c r="O3480" s="64">
        <v>1.77</v>
      </c>
      <c r="P3480" s="64">
        <v>0</v>
      </c>
      <c r="Q3480" s="64">
        <v>0</v>
      </c>
      <c r="R3480" s="64">
        <v>1.77</v>
      </c>
      <c r="S3480" t="s">
        <v>155</v>
      </c>
    </row>
    <row r="3481" spans="1:19" x14ac:dyDescent="0.3">
      <c r="A3481" t="s">
        <v>5565</v>
      </c>
      <c r="B3481" t="s">
        <v>147</v>
      </c>
      <c r="C3481" t="s">
        <v>147</v>
      </c>
      <c r="D3481" t="s">
        <v>2760</v>
      </c>
      <c r="E3481" t="s">
        <v>46</v>
      </c>
      <c r="F3481" t="s">
        <v>29</v>
      </c>
      <c r="G3481" t="s">
        <v>177</v>
      </c>
      <c r="H3481" t="s">
        <v>159</v>
      </c>
      <c r="I3481" t="s">
        <v>151</v>
      </c>
      <c r="J3481" s="96">
        <v>46129</v>
      </c>
      <c r="K3481" s="6">
        <v>46129</v>
      </c>
      <c r="L3481" s="6" t="s">
        <v>4</v>
      </c>
      <c r="M3481" t="s">
        <v>153</v>
      </c>
      <c r="N3481" t="s">
        <v>154</v>
      </c>
      <c r="O3481" s="64">
        <v>6.26</v>
      </c>
      <c r="P3481" s="64">
        <v>0</v>
      </c>
      <c r="Q3481" s="64">
        <v>0</v>
      </c>
      <c r="R3481" s="64">
        <v>6.26</v>
      </c>
      <c r="S3481" t="s">
        <v>155</v>
      </c>
    </row>
    <row r="3482" spans="1:19" x14ac:dyDescent="0.3">
      <c r="A3482" t="s">
        <v>5566</v>
      </c>
      <c r="B3482" t="s">
        <v>147</v>
      </c>
      <c r="C3482" t="s">
        <v>147</v>
      </c>
      <c r="D3482" t="s">
        <v>1383</v>
      </c>
      <c r="E3482" t="s">
        <v>50</v>
      </c>
      <c r="F3482" t="s">
        <v>25</v>
      </c>
      <c r="G3482" t="s">
        <v>177</v>
      </c>
      <c r="H3482" t="s">
        <v>167</v>
      </c>
      <c r="I3482" t="s">
        <v>151</v>
      </c>
      <c r="J3482" s="96">
        <v>46132</v>
      </c>
      <c r="K3482" s="6">
        <v>46132</v>
      </c>
      <c r="L3482" s="6" t="s">
        <v>4</v>
      </c>
      <c r="M3482" t="s">
        <v>153</v>
      </c>
      <c r="N3482" t="s">
        <v>154</v>
      </c>
      <c r="O3482" s="64">
        <v>956.92</v>
      </c>
      <c r="P3482" s="64">
        <v>0</v>
      </c>
      <c r="Q3482" s="64">
        <v>64.989999999999995</v>
      </c>
      <c r="R3482" s="64">
        <v>1021.91</v>
      </c>
      <c r="S3482" t="s">
        <v>155</v>
      </c>
    </row>
    <row r="3483" spans="1:19" x14ac:dyDescent="0.3">
      <c r="A3483" t="s">
        <v>5567</v>
      </c>
      <c r="B3483" t="s">
        <v>147</v>
      </c>
      <c r="C3483" t="s">
        <v>147</v>
      </c>
      <c r="D3483" t="s">
        <v>1342</v>
      </c>
      <c r="E3483" t="s">
        <v>48</v>
      </c>
      <c r="F3483" t="s">
        <v>17</v>
      </c>
      <c r="G3483" t="s">
        <v>158</v>
      </c>
      <c r="H3483" t="s">
        <v>159</v>
      </c>
      <c r="I3483" t="s">
        <v>151</v>
      </c>
      <c r="J3483" s="96">
        <v>46132</v>
      </c>
      <c r="K3483" s="6">
        <v>46132</v>
      </c>
      <c r="L3483" s="6" t="s">
        <v>4</v>
      </c>
      <c r="M3483" t="s">
        <v>153</v>
      </c>
      <c r="N3483" t="s">
        <v>154</v>
      </c>
      <c r="O3483" s="64">
        <v>1000</v>
      </c>
      <c r="P3483" s="64">
        <v>0</v>
      </c>
      <c r="Q3483" s="64">
        <v>0</v>
      </c>
      <c r="R3483" s="64">
        <v>1000</v>
      </c>
      <c r="S3483" t="s">
        <v>155</v>
      </c>
    </row>
    <row r="3484" spans="1:19" x14ac:dyDescent="0.3">
      <c r="A3484" t="s">
        <v>5568</v>
      </c>
      <c r="B3484" t="s">
        <v>147</v>
      </c>
      <c r="C3484" t="s">
        <v>147</v>
      </c>
      <c r="D3484" t="s">
        <v>1464</v>
      </c>
      <c r="E3484" t="s">
        <v>54</v>
      </c>
      <c r="F3484" t="s">
        <v>115</v>
      </c>
      <c r="G3484" t="s">
        <v>213</v>
      </c>
      <c r="H3484" t="s">
        <v>167</v>
      </c>
      <c r="I3484" t="s">
        <v>151</v>
      </c>
      <c r="J3484" s="96">
        <v>46132</v>
      </c>
      <c r="K3484" s="6">
        <v>46132</v>
      </c>
      <c r="L3484" s="6" t="s">
        <v>4</v>
      </c>
      <c r="M3484" t="s">
        <v>153</v>
      </c>
      <c r="N3484" t="s">
        <v>154</v>
      </c>
      <c r="O3484" s="64">
        <v>472</v>
      </c>
      <c r="P3484" s="64">
        <v>0</v>
      </c>
      <c r="Q3484" s="64">
        <v>0</v>
      </c>
      <c r="R3484" s="64">
        <v>472</v>
      </c>
      <c r="S3484" t="s">
        <v>155</v>
      </c>
    </row>
    <row r="3485" spans="1:19" x14ac:dyDescent="0.3">
      <c r="A3485" t="s">
        <v>5569</v>
      </c>
      <c r="B3485" t="s">
        <v>147</v>
      </c>
      <c r="C3485" t="s">
        <v>147</v>
      </c>
      <c r="D3485" t="s">
        <v>1477</v>
      </c>
      <c r="E3485" t="s">
        <v>55</v>
      </c>
      <c r="F3485" t="s">
        <v>115</v>
      </c>
      <c r="G3485" t="s">
        <v>213</v>
      </c>
      <c r="H3485" t="s">
        <v>167</v>
      </c>
      <c r="I3485" t="s">
        <v>151</v>
      </c>
      <c r="J3485" s="96">
        <v>46132</v>
      </c>
      <c r="K3485" s="6">
        <v>46132</v>
      </c>
      <c r="L3485" s="6" t="s">
        <v>4</v>
      </c>
      <c r="M3485" t="s">
        <v>153</v>
      </c>
      <c r="N3485" t="s">
        <v>154</v>
      </c>
      <c r="O3485" s="64">
        <v>458.04</v>
      </c>
      <c r="P3485" s="64">
        <v>0</v>
      </c>
      <c r="Q3485" s="64">
        <v>0</v>
      </c>
      <c r="R3485" s="64">
        <v>458.04</v>
      </c>
      <c r="S3485" t="s">
        <v>155</v>
      </c>
    </row>
    <row r="3486" spans="1:19" x14ac:dyDescent="0.3">
      <c r="A3486" t="s">
        <v>5570</v>
      </c>
      <c r="B3486" t="s">
        <v>147</v>
      </c>
      <c r="C3486" t="s">
        <v>147</v>
      </c>
      <c r="D3486" t="s">
        <v>1542</v>
      </c>
      <c r="E3486" t="s">
        <v>57</v>
      </c>
      <c r="F3486" t="s">
        <v>17</v>
      </c>
      <c r="G3486" t="s">
        <v>213</v>
      </c>
      <c r="H3486" t="s">
        <v>167</v>
      </c>
      <c r="I3486" t="s">
        <v>151</v>
      </c>
      <c r="J3486" s="96">
        <v>46132</v>
      </c>
      <c r="K3486" s="6">
        <v>46132</v>
      </c>
      <c r="L3486" s="6" t="s">
        <v>4</v>
      </c>
      <c r="M3486" t="s">
        <v>153</v>
      </c>
      <c r="N3486" t="s">
        <v>154</v>
      </c>
      <c r="O3486" s="64">
        <v>47.14</v>
      </c>
      <c r="P3486" s="64">
        <v>0</v>
      </c>
      <c r="Q3486" s="64">
        <v>0</v>
      </c>
      <c r="R3486" s="64">
        <v>47.14</v>
      </c>
      <c r="S3486" t="s">
        <v>155</v>
      </c>
    </row>
    <row r="3487" spans="1:19" x14ac:dyDescent="0.3">
      <c r="A3487" t="s">
        <v>5571</v>
      </c>
      <c r="B3487" t="s">
        <v>147</v>
      </c>
      <c r="C3487" t="s">
        <v>147</v>
      </c>
      <c r="D3487" t="s">
        <v>1418</v>
      </c>
      <c r="E3487" t="s">
        <v>50</v>
      </c>
      <c r="F3487" t="s">
        <v>25</v>
      </c>
      <c r="G3487" t="s">
        <v>177</v>
      </c>
      <c r="H3487" t="s">
        <v>167</v>
      </c>
      <c r="I3487" t="s">
        <v>151</v>
      </c>
      <c r="J3487" s="96">
        <v>46132</v>
      </c>
      <c r="K3487" s="6">
        <v>46132</v>
      </c>
      <c r="L3487" s="6" t="s">
        <v>4</v>
      </c>
      <c r="M3487" t="s">
        <v>153</v>
      </c>
      <c r="N3487" t="s">
        <v>154</v>
      </c>
      <c r="O3487" s="64">
        <v>56948.89</v>
      </c>
      <c r="P3487" s="64">
        <v>0</v>
      </c>
      <c r="Q3487" s="64">
        <v>0</v>
      </c>
      <c r="R3487" s="64">
        <v>56948.89</v>
      </c>
      <c r="S3487" t="s">
        <v>155</v>
      </c>
    </row>
    <row r="3488" spans="1:19" x14ac:dyDescent="0.3">
      <c r="A3488" t="s">
        <v>5572</v>
      </c>
      <c r="B3488" t="s">
        <v>147</v>
      </c>
      <c r="C3488" t="s">
        <v>147</v>
      </c>
      <c r="D3488" t="s">
        <v>5573</v>
      </c>
      <c r="E3488" t="s">
        <v>3559</v>
      </c>
      <c r="F3488" t="s">
        <v>17</v>
      </c>
      <c r="G3488" t="s">
        <v>158</v>
      </c>
      <c r="H3488" t="s">
        <v>159</v>
      </c>
      <c r="I3488" t="s">
        <v>151</v>
      </c>
      <c r="J3488" s="96">
        <v>46132</v>
      </c>
      <c r="K3488" s="6">
        <v>46132</v>
      </c>
      <c r="L3488" s="6" t="s">
        <v>4</v>
      </c>
      <c r="M3488" t="s">
        <v>153</v>
      </c>
      <c r="N3488" t="s">
        <v>154</v>
      </c>
      <c r="O3488" s="64">
        <v>50</v>
      </c>
      <c r="P3488" s="64">
        <v>0</v>
      </c>
      <c r="Q3488" s="64">
        <v>0</v>
      </c>
      <c r="R3488" s="64">
        <v>50</v>
      </c>
      <c r="S3488" t="s">
        <v>155</v>
      </c>
    </row>
    <row r="3489" spans="1:19" x14ac:dyDescent="0.3">
      <c r="A3489" t="s">
        <v>5574</v>
      </c>
      <c r="B3489" t="s">
        <v>147</v>
      </c>
      <c r="C3489" t="s">
        <v>147</v>
      </c>
      <c r="D3489" t="s">
        <v>70</v>
      </c>
      <c r="E3489" t="s">
        <v>70</v>
      </c>
      <c r="F3489" t="s">
        <v>34</v>
      </c>
      <c r="G3489" t="s">
        <v>213</v>
      </c>
      <c r="H3489" t="s">
        <v>150</v>
      </c>
      <c r="I3489" t="s">
        <v>151</v>
      </c>
      <c r="J3489" s="96">
        <v>46132</v>
      </c>
      <c r="K3489" s="6">
        <v>46132</v>
      </c>
      <c r="L3489" s="6" t="s">
        <v>4</v>
      </c>
      <c r="M3489" t="s">
        <v>153</v>
      </c>
      <c r="N3489" t="s">
        <v>154</v>
      </c>
      <c r="O3489" s="64">
        <v>14880.19</v>
      </c>
      <c r="P3489" s="64">
        <v>0</v>
      </c>
      <c r="Q3489" s="64">
        <v>0</v>
      </c>
      <c r="R3489" s="64">
        <v>14880.19</v>
      </c>
      <c r="S3489" t="s">
        <v>155</v>
      </c>
    </row>
    <row r="3490" spans="1:19" x14ac:dyDescent="0.3">
      <c r="A3490" t="s">
        <v>5575</v>
      </c>
      <c r="B3490" t="s">
        <v>147</v>
      </c>
      <c r="C3490" t="s">
        <v>147</v>
      </c>
      <c r="D3490" t="s">
        <v>4416</v>
      </c>
      <c r="E3490" t="s">
        <v>3559</v>
      </c>
      <c r="F3490" t="s">
        <v>17</v>
      </c>
      <c r="G3490" t="s">
        <v>181</v>
      </c>
      <c r="H3490" t="s">
        <v>182</v>
      </c>
      <c r="I3490" t="s">
        <v>151</v>
      </c>
      <c r="J3490" s="96">
        <v>46132</v>
      </c>
      <c r="K3490" s="6">
        <v>46132</v>
      </c>
      <c r="L3490" s="6" t="s">
        <v>4</v>
      </c>
      <c r="M3490" t="s">
        <v>153</v>
      </c>
      <c r="N3490" t="s">
        <v>154</v>
      </c>
      <c r="O3490" s="64">
        <v>20</v>
      </c>
      <c r="P3490" s="64">
        <v>0</v>
      </c>
      <c r="Q3490" s="64">
        <v>0</v>
      </c>
      <c r="R3490" s="64">
        <v>20</v>
      </c>
      <c r="S3490" t="s">
        <v>155</v>
      </c>
    </row>
    <row r="3491" spans="1:19" x14ac:dyDescent="0.3">
      <c r="A3491" t="s">
        <v>5576</v>
      </c>
      <c r="B3491" t="s">
        <v>147</v>
      </c>
      <c r="C3491" t="s">
        <v>147</v>
      </c>
      <c r="D3491" t="s">
        <v>5577</v>
      </c>
      <c r="E3491" t="s">
        <v>85</v>
      </c>
      <c r="F3491" t="s">
        <v>17</v>
      </c>
      <c r="G3491" t="s">
        <v>213</v>
      </c>
      <c r="H3491" t="s">
        <v>159</v>
      </c>
      <c r="I3491" t="s">
        <v>151</v>
      </c>
      <c r="J3491" s="96">
        <v>46132</v>
      </c>
      <c r="K3491" s="6">
        <v>46132</v>
      </c>
      <c r="L3491" s="6" t="s">
        <v>4</v>
      </c>
      <c r="M3491" t="s">
        <v>153</v>
      </c>
      <c r="N3491" t="s">
        <v>154</v>
      </c>
      <c r="O3491" s="64">
        <v>975.92</v>
      </c>
      <c r="P3491" s="64">
        <v>0</v>
      </c>
      <c r="Q3491" s="64">
        <v>0</v>
      </c>
      <c r="R3491" s="64">
        <v>975.92</v>
      </c>
      <c r="S3491" t="s">
        <v>155</v>
      </c>
    </row>
    <row r="3492" spans="1:19" x14ac:dyDescent="0.3">
      <c r="A3492" t="s">
        <v>5578</v>
      </c>
      <c r="B3492" t="s">
        <v>147</v>
      </c>
      <c r="C3492" t="s">
        <v>147</v>
      </c>
      <c r="D3492" t="s">
        <v>5579</v>
      </c>
      <c r="E3492" t="s">
        <v>104</v>
      </c>
      <c r="F3492" t="s">
        <v>115</v>
      </c>
      <c r="G3492" t="s">
        <v>166</v>
      </c>
      <c r="H3492" t="s">
        <v>167</v>
      </c>
      <c r="I3492" t="s">
        <v>151</v>
      </c>
      <c r="J3492" s="96">
        <v>46132</v>
      </c>
      <c r="K3492" s="6">
        <v>46132</v>
      </c>
      <c r="L3492" s="6" t="s">
        <v>4</v>
      </c>
      <c r="M3492" t="s">
        <v>153</v>
      </c>
      <c r="N3492" t="s">
        <v>154</v>
      </c>
      <c r="O3492" s="64">
        <v>150.4</v>
      </c>
      <c r="P3492" s="64">
        <v>0</v>
      </c>
      <c r="Q3492" s="64">
        <v>0</v>
      </c>
      <c r="R3492" s="64">
        <v>150.4</v>
      </c>
      <c r="S3492" t="s">
        <v>155</v>
      </c>
    </row>
    <row r="3493" spans="1:19" x14ac:dyDescent="0.3">
      <c r="A3493" t="s">
        <v>5580</v>
      </c>
      <c r="B3493" t="s">
        <v>147</v>
      </c>
      <c r="C3493" t="s">
        <v>147</v>
      </c>
      <c r="D3493" t="s">
        <v>1542</v>
      </c>
      <c r="E3493" t="s">
        <v>57</v>
      </c>
      <c r="F3493" t="s">
        <v>17</v>
      </c>
      <c r="G3493" t="s">
        <v>213</v>
      </c>
      <c r="H3493" t="s">
        <v>167</v>
      </c>
      <c r="I3493" t="s">
        <v>151</v>
      </c>
      <c r="J3493" s="96">
        <v>46132</v>
      </c>
      <c r="K3493" s="6">
        <v>46132</v>
      </c>
      <c r="L3493" s="6" t="s">
        <v>4</v>
      </c>
      <c r="M3493" t="s">
        <v>153</v>
      </c>
      <c r="N3493" t="s">
        <v>154</v>
      </c>
      <c r="O3493" s="64">
        <v>47.14</v>
      </c>
      <c r="P3493" s="64">
        <v>0</v>
      </c>
      <c r="Q3493" s="64">
        <v>0</v>
      </c>
      <c r="R3493" s="64">
        <v>47.14</v>
      </c>
      <c r="S3493" t="s">
        <v>155</v>
      </c>
    </row>
    <row r="3494" spans="1:19" x14ac:dyDescent="0.3">
      <c r="A3494" t="s">
        <v>5581</v>
      </c>
      <c r="B3494" t="s">
        <v>147</v>
      </c>
      <c r="C3494" t="s">
        <v>147</v>
      </c>
      <c r="D3494" t="s">
        <v>449</v>
      </c>
      <c r="E3494" t="s">
        <v>18</v>
      </c>
      <c r="F3494" t="s">
        <v>115</v>
      </c>
      <c r="G3494" t="s">
        <v>158</v>
      </c>
      <c r="H3494" t="s">
        <v>159</v>
      </c>
      <c r="I3494" t="s">
        <v>151</v>
      </c>
      <c r="J3494" s="96">
        <v>46132</v>
      </c>
      <c r="K3494" s="6">
        <v>46132</v>
      </c>
      <c r="L3494" s="6" t="s">
        <v>4</v>
      </c>
      <c r="M3494" t="s">
        <v>153</v>
      </c>
      <c r="N3494" t="s">
        <v>154</v>
      </c>
      <c r="O3494" s="64">
        <v>81.95</v>
      </c>
      <c r="P3494" s="64">
        <v>0</v>
      </c>
      <c r="Q3494" s="64">
        <v>0</v>
      </c>
      <c r="R3494" s="64">
        <v>81.95</v>
      </c>
      <c r="S3494" t="s">
        <v>155</v>
      </c>
    </row>
    <row r="3495" spans="1:19" x14ac:dyDescent="0.3">
      <c r="A3495" t="s">
        <v>5582</v>
      </c>
      <c r="B3495" t="s">
        <v>147</v>
      </c>
      <c r="C3495" t="s">
        <v>147</v>
      </c>
      <c r="D3495" t="s">
        <v>70</v>
      </c>
      <c r="E3495" t="s">
        <v>70</v>
      </c>
      <c r="F3495" t="s">
        <v>34</v>
      </c>
      <c r="G3495" t="s">
        <v>213</v>
      </c>
      <c r="H3495" t="s">
        <v>159</v>
      </c>
      <c r="I3495" t="s">
        <v>151</v>
      </c>
      <c r="J3495" s="96">
        <v>46132</v>
      </c>
      <c r="K3495" s="6">
        <v>46132</v>
      </c>
      <c r="L3495" s="6" t="s">
        <v>4</v>
      </c>
      <c r="M3495" t="s">
        <v>153</v>
      </c>
      <c r="N3495" t="s">
        <v>154</v>
      </c>
      <c r="O3495" s="64">
        <v>744.26</v>
      </c>
      <c r="P3495" s="64">
        <v>0</v>
      </c>
      <c r="Q3495" s="64">
        <v>0</v>
      </c>
      <c r="R3495" s="64">
        <v>744.26</v>
      </c>
      <c r="S3495" t="s">
        <v>155</v>
      </c>
    </row>
    <row r="3496" spans="1:19" x14ac:dyDescent="0.3">
      <c r="A3496" t="s">
        <v>5583</v>
      </c>
      <c r="B3496" t="s">
        <v>147</v>
      </c>
      <c r="C3496" t="s">
        <v>147</v>
      </c>
      <c r="D3496" t="s">
        <v>5584</v>
      </c>
      <c r="E3496" t="s">
        <v>5585</v>
      </c>
      <c r="F3496" t="s">
        <v>17</v>
      </c>
      <c r="G3496" t="s">
        <v>158</v>
      </c>
      <c r="H3496" t="s">
        <v>159</v>
      </c>
      <c r="I3496" t="s">
        <v>151</v>
      </c>
      <c r="J3496" s="96">
        <v>46132</v>
      </c>
      <c r="K3496" s="6">
        <v>46132</v>
      </c>
      <c r="L3496" s="6" t="s">
        <v>4</v>
      </c>
      <c r="M3496" t="s">
        <v>153</v>
      </c>
      <c r="N3496" t="s">
        <v>154</v>
      </c>
      <c r="O3496" s="64">
        <v>1156</v>
      </c>
      <c r="P3496" s="64">
        <v>0</v>
      </c>
      <c r="Q3496" s="64">
        <v>0</v>
      </c>
      <c r="R3496" s="64">
        <v>1156</v>
      </c>
      <c r="S3496" t="s">
        <v>155</v>
      </c>
    </row>
    <row r="3497" spans="1:19" x14ac:dyDescent="0.3">
      <c r="A3497" t="s">
        <v>5586</v>
      </c>
      <c r="B3497" t="s">
        <v>147</v>
      </c>
      <c r="C3497" t="s">
        <v>147</v>
      </c>
      <c r="D3497" t="s">
        <v>3594</v>
      </c>
      <c r="E3497" t="s">
        <v>87</v>
      </c>
      <c r="F3497" t="s">
        <v>17</v>
      </c>
      <c r="G3497" t="s">
        <v>158</v>
      </c>
      <c r="H3497" t="s">
        <v>159</v>
      </c>
      <c r="I3497" t="s">
        <v>151</v>
      </c>
      <c r="J3497" s="96">
        <v>46132</v>
      </c>
      <c r="K3497" s="6">
        <v>46132</v>
      </c>
      <c r="L3497" s="6" t="s">
        <v>4</v>
      </c>
      <c r="M3497" t="s">
        <v>153</v>
      </c>
      <c r="N3497" t="s">
        <v>154</v>
      </c>
      <c r="O3497" s="64">
        <v>10.95</v>
      </c>
      <c r="P3497" s="64">
        <v>0</v>
      </c>
      <c r="Q3497" s="64">
        <v>0</v>
      </c>
      <c r="R3497" s="64">
        <v>10.95</v>
      </c>
      <c r="S3497" t="s">
        <v>155</v>
      </c>
    </row>
    <row r="3498" spans="1:19" x14ac:dyDescent="0.3">
      <c r="A3498" t="s">
        <v>5587</v>
      </c>
      <c r="B3498" t="s">
        <v>147</v>
      </c>
      <c r="C3498" t="s">
        <v>147</v>
      </c>
      <c r="D3498" t="s">
        <v>2573</v>
      </c>
      <c r="E3498" t="s">
        <v>39</v>
      </c>
      <c r="F3498" t="s">
        <v>29</v>
      </c>
      <c r="G3498" t="s">
        <v>177</v>
      </c>
      <c r="H3498" t="s">
        <v>159</v>
      </c>
      <c r="I3498" t="s">
        <v>151</v>
      </c>
      <c r="J3498" s="96">
        <v>46132</v>
      </c>
      <c r="K3498" s="6">
        <v>46132</v>
      </c>
      <c r="L3498" s="6" t="s">
        <v>4</v>
      </c>
      <c r="M3498" t="s">
        <v>153</v>
      </c>
      <c r="N3498" t="s">
        <v>154</v>
      </c>
      <c r="O3498" s="64">
        <v>5.31</v>
      </c>
      <c r="P3498" s="64">
        <v>0</v>
      </c>
      <c r="Q3498" s="64">
        <v>0</v>
      </c>
      <c r="R3498" s="64">
        <v>5.31</v>
      </c>
      <c r="S3498" t="s">
        <v>155</v>
      </c>
    </row>
    <row r="3499" spans="1:19" x14ac:dyDescent="0.3">
      <c r="A3499" t="s">
        <v>5588</v>
      </c>
      <c r="B3499" t="s">
        <v>147</v>
      </c>
      <c r="C3499" t="s">
        <v>147</v>
      </c>
      <c r="D3499" t="s">
        <v>2760</v>
      </c>
      <c r="E3499" t="s">
        <v>46</v>
      </c>
      <c r="F3499" t="s">
        <v>29</v>
      </c>
      <c r="G3499" t="s">
        <v>177</v>
      </c>
      <c r="H3499" t="s">
        <v>167</v>
      </c>
      <c r="I3499" t="s">
        <v>151</v>
      </c>
      <c r="J3499" s="96">
        <v>46132</v>
      </c>
      <c r="K3499" s="6">
        <v>46132</v>
      </c>
      <c r="L3499" s="6" t="s">
        <v>4</v>
      </c>
      <c r="M3499" t="s">
        <v>153</v>
      </c>
      <c r="N3499" t="s">
        <v>154</v>
      </c>
      <c r="O3499" s="64">
        <v>3.13</v>
      </c>
      <c r="P3499" s="64">
        <v>0</v>
      </c>
      <c r="Q3499" s="64">
        <v>0</v>
      </c>
      <c r="R3499" s="64">
        <v>3.13</v>
      </c>
      <c r="S3499" t="s">
        <v>155</v>
      </c>
    </row>
    <row r="3500" spans="1:19" x14ac:dyDescent="0.3">
      <c r="A3500" t="s">
        <v>5589</v>
      </c>
      <c r="B3500" t="s">
        <v>147</v>
      </c>
      <c r="C3500" t="s">
        <v>147</v>
      </c>
      <c r="D3500" t="s">
        <v>2760</v>
      </c>
      <c r="E3500" t="s">
        <v>46</v>
      </c>
      <c r="F3500" t="s">
        <v>29</v>
      </c>
      <c r="G3500" t="s">
        <v>177</v>
      </c>
      <c r="H3500" t="s">
        <v>167</v>
      </c>
      <c r="I3500" t="s">
        <v>151</v>
      </c>
      <c r="J3500" s="96">
        <v>46132</v>
      </c>
      <c r="K3500" s="6">
        <v>46132</v>
      </c>
      <c r="L3500" s="6" t="s">
        <v>4</v>
      </c>
      <c r="M3500" t="s">
        <v>153</v>
      </c>
      <c r="N3500" t="s">
        <v>154</v>
      </c>
      <c r="O3500" s="64">
        <v>3.13</v>
      </c>
      <c r="P3500" s="64">
        <v>0</v>
      </c>
      <c r="Q3500" s="64">
        <v>0</v>
      </c>
      <c r="R3500" s="64">
        <v>3.13</v>
      </c>
      <c r="S3500" t="s">
        <v>155</v>
      </c>
    </row>
    <row r="3501" spans="1:19" x14ac:dyDescent="0.3">
      <c r="A3501" t="s">
        <v>5590</v>
      </c>
      <c r="B3501" t="s">
        <v>147</v>
      </c>
      <c r="C3501" t="s">
        <v>147</v>
      </c>
      <c r="D3501" t="s">
        <v>5591</v>
      </c>
      <c r="E3501" t="s">
        <v>5585</v>
      </c>
      <c r="F3501" t="s">
        <v>17</v>
      </c>
      <c r="G3501" t="s">
        <v>158</v>
      </c>
      <c r="H3501" t="s">
        <v>159</v>
      </c>
      <c r="I3501" t="s">
        <v>151</v>
      </c>
      <c r="J3501" s="96">
        <v>46134</v>
      </c>
      <c r="K3501" s="6">
        <v>46134</v>
      </c>
      <c r="L3501" s="6" t="s">
        <v>4</v>
      </c>
      <c r="M3501" t="s">
        <v>153</v>
      </c>
      <c r="N3501" t="s">
        <v>154</v>
      </c>
      <c r="O3501" s="64">
        <v>30</v>
      </c>
      <c r="P3501" s="64">
        <v>0</v>
      </c>
      <c r="Q3501" s="64">
        <v>0</v>
      </c>
      <c r="R3501" s="64">
        <v>30</v>
      </c>
      <c r="S3501" t="s">
        <v>155</v>
      </c>
    </row>
    <row r="3502" spans="1:19" x14ac:dyDescent="0.3">
      <c r="A3502" t="s">
        <v>5592</v>
      </c>
      <c r="B3502" t="s">
        <v>147</v>
      </c>
      <c r="C3502" t="s">
        <v>147</v>
      </c>
      <c r="D3502" t="s">
        <v>4630</v>
      </c>
      <c r="E3502" t="s">
        <v>3559</v>
      </c>
      <c r="F3502" t="s">
        <v>17</v>
      </c>
      <c r="G3502" t="s">
        <v>181</v>
      </c>
      <c r="H3502" t="s">
        <v>182</v>
      </c>
      <c r="I3502" t="s">
        <v>151</v>
      </c>
      <c r="J3502" s="96">
        <v>46134</v>
      </c>
      <c r="K3502" s="6">
        <v>46134</v>
      </c>
      <c r="L3502" s="6" t="s">
        <v>4</v>
      </c>
      <c r="M3502" t="s">
        <v>153</v>
      </c>
      <c r="N3502" t="s">
        <v>154</v>
      </c>
      <c r="O3502" s="64">
        <v>20</v>
      </c>
      <c r="P3502" s="64">
        <v>0</v>
      </c>
      <c r="Q3502" s="64">
        <v>0</v>
      </c>
      <c r="R3502" s="64">
        <v>20</v>
      </c>
      <c r="S3502" t="s">
        <v>155</v>
      </c>
    </row>
    <row r="3503" spans="1:19" x14ac:dyDescent="0.3">
      <c r="A3503" t="s">
        <v>5593</v>
      </c>
      <c r="B3503" t="s">
        <v>147</v>
      </c>
      <c r="C3503" t="s">
        <v>147</v>
      </c>
      <c r="D3503" t="s">
        <v>2573</v>
      </c>
      <c r="E3503" t="s">
        <v>39</v>
      </c>
      <c r="F3503" t="s">
        <v>29</v>
      </c>
      <c r="G3503" t="s">
        <v>177</v>
      </c>
      <c r="H3503" t="s">
        <v>159</v>
      </c>
      <c r="I3503" t="s">
        <v>151</v>
      </c>
      <c r="J3503" s="96">
        <v>46134</v>
      </c>
      <c r="K3503" s="6">
        <v>46134</v>
      </c>
      <c r="L3503" s="6" t="s">
        <v>4</v>
      </c>
      <c r="M3503" t="s">
        <v>153</v>
      </c>
      <c r="N3503" t="s">
        <v>154</v>
      </c>
      <c r="O3503" s="64">
        <v>5.31</v>
      </c>
      <c r="P3503" s="64">
        <v>0</v>
      </c>
      <c r="Q3503" s="64">
        <v>0</v>
      </c>
      <c r="R3503" s="64">
        <v>5.31</v>
      </c>
      <c r="S3503" t="s">
        <v>155</v>
      </c>
    </row>
    <row r="3504" spans="1:19" x14ac:dyDescent="0.3">
      <c r="A3504" t="s">
        <v>5594</v>
      </c>
      <c r="B3504" t="s">
        <v>147</v>
      </c>
      <c r="C3504" t="s">
        <v>147</v>
      </c>
      <c r="D3504" t="s">
        <v>2760</v>
      </c>
      <c r="E3504" t="s">
        <v>46</v>
      </c>
      <c r="F3504" t="s">
        <v>29</v>
      </c>
      <c r="G3504" t="s">
        <v>177</v>
      </c>
      <c r="H3504" t="s">
        <v>167</v>
      </c>
      <c r="I3504" t="s">
        <v>151</v>
      </c>
      <c r="J3504" s="96">
        <v>46134</v>
      </c>
      <c r="K3504" s="6">
        <v>46134</v>
      </c>
      <c r="L3504" s="6" t="s">
        <v>4</v>
      </c>
      <c r="M3504" t="s">
        <v>153</v>
      </c>
      <c r="N3504" t="s">
        <v>154</v>
      </c>
      <c r="O3504" s="64">
        <v>9.39</v>
      </c>
      <c r="P3504" s="64">
        <v>0</v>
      </c>
      <c r="Q3504" s="64">
        <v>0</v>
      </c>
      <c r="R3504" s="64">
        <v>9.39</v>
      </c>
      <c r="S3504" t="s">
        <v>155</v>
      </c>
    </row>
    <row r="3505" spans="1:19" x14ac:dyDescent="0.3">
      <c r="A3505" t="s">
        <v>5595</v>
      </c>
      <c r="B3505" t="s">
        <v>147</v>
      </c>
      <c r="C3505" t="s">
        <v>147</v>
      </c>
      <c r="D3505" t="s">
        <v>935</v>
      </c>
      <c r="E3505" t="s">
        <v>30</v>
      </c>
      <c r="F3505" t="s">
        <v>17</v>
      </c>
      <c r="G3505" t="s">
        <v>158</v>
      </c>
      <c r="H3505" t="s">
        <v>159</v>
      </c>
      <c r="I3505" t="s">
        <v>151</v>
      </c>
      <c r="J3505" s="96">
        <v>46135</v>
      </c>
      <c r="K3505" s="6">
        <v>46135</v>
      </c>
      <c r="L3505" s="6" t="s">
        <v>4</v>
      </c>
      <c r="M3505" t="s">
        <v>153</v>
      </c>
      <c r="N3505" t="s">
        <v>154</v>
      </c>
      <c r="O3505" s="64">
        <v>96.91</v>
      </c>
      <c r="P3505" s="64">
        <v>0</v>
      </c>
      <c r="Q3505" s="64">
        <v>0</v>
      </c>
      <c r="R3505" s="64">
        <v>96.91</v>
      </c>
      <c r="S3505" t="s">
        <v>155</v>
      </c>
    </row>
    <row r="3506" spans="1:19" x14ac:dyDescent="0.3">
      <c r="A3506" t="s">
        <v>5596</v>
      </c>
      <c r="B3506" t="s">
        <v>147</v>
      </c>
      <c r="C3506" t="s">
        <v>147</v>
      </c>
      <c r="D3506" t="s">
        <v>1912</v>
      </c>
      <c r="E3506" t="s">
        <v>71</v>
      </c>
      <c r="F3506" t="s">
        <v>17</v>
      </c>
      <c r="G3506" t="s">
        <v>181</v>
      </c>
      <c r="H3506" t="s">
        <v>182</v>
      </c>
      <c r="I3506" t="s">
        <v>151</v>
      </c>
      <c r="J3506" s="96">
        <v>46135</v>
      </c>
      <c r="K3506" s="6">
        <v>46135</v>
      </c>
      <c r="L3506" s="6" t="s">
        <v>4</v>
      </c>
      <c r="M3506" t="s">
        <v>153</v>
      </c>
      <c r="N3506" t="s">
        <v>154</v>
      </c>
      <c r="O3506" s="64">
        <v>100</v>
      </c>
      <c r="P3506" s="64">
        <v>0</v>
      </c>
      <c r="Q3506" s="64">
        <v>0</v>
      </c>
      <c r="R3506" s="64">
        <v>100</v>
      </c>
      <c r="S3506" t="s">
        <v>155</v>
      </c>
    </row>
    <row r="3507" spans="1:19" x14ac:dyDescent="0.3">
      <c r="A3507" t="s">
        <v>5597</v>
      </c>
      <c r="B3507" t="s">
        <v>147</v>
      </c>
      <c r="C3507" t="s">
        <v>147</v>
      </c>
      <c r="D3507" t="s">
        <v>5598</v>
      </c>
      <c r="E3507" t="s">
        <v>39</v>
      </c>
      <c r="F3507" t="s">
        <v>29</v>
      </c>
      <c r="G3507" t="s">
        <v>177</v>
      </c>
      <c r="H3507" t="s">
        <v>159</v>
      </c>
      <c r="I3507" t="s">
        <v>151</v>
      </c>
      <c r="J3507" s="96">
        <v>46135</v>
      </c>
      <c r="K3507" s="6">
        <v>46135</v>
      </c>
      <c r="L3507" s="6" t="s">
        <v>4</v>
      </c>
      <c r="M3507" t="s">
        <v>153</v>
      </c>
      <c r="N3507" t="s">
        <v>154</v>
      </c>
      <c r="O3507" s="64">
        <v>1.77</v>
      </c>
      <c r="P3507" s="64">
        <v>0</v>
      </c>
      <c r="Q3507" s="64">
        <v>0</v>
      </c>
      <c r="R3507" s="64">
        <v>1.77</v>
      </c>
      <c r="S3507" t="s">
        <v>155</v>
      </c>
    </row>
    <row r="3508" spans="1:19" x14ac:dyDescent="0.3">
      <c r="A3508" t="s">
        <v>5599</v>
      </c>
      <c r="B3508" t="s">
        <v>147</v>
      </c>
      <c r="C3508" t="s">
        <v>147</v>
      </c>
      <c r="D3508" t="s">
        <v>2760</v>
      </c>
      <c r="E3508" t="s">
        <v>46</v>
      </c>
      <c r="F3508" t="s">
        <v>29</v>
      </c>
      <c r="G3508" t="s">
        <v>177</v>
      </c>
      <c r="H3508" t="s">
        <v>167</v>
      </c>
      <c r="I3508" t="s">
        <v>151</v>
      </c>
      <c r="J3508" s="96">
        <v>46135</v>
      </c>
      <c r="K3508" s="6">
        <v>46135</v>
      </c>
      <c r="L3508" s="6" t="s">
        <v>4</v>
      </c>
      <c r="M3508" t="s">
        <v>153</v>
      </c>
      <c r="N3508" t="s">
        <v>154</v>
      </c>
      <c r="O3508" s="64">
        <v>17.82</v>
      </c>
      <c r="P3508" s="64">
        <v>0</v>
      </c>
      <c r="Q3508" s="64">
        <v>0</v>
      </c>
      <c r="R3508" s="64">
        <v>17.82</v>
      </c>
      <c r="S3508" t="s">
        <v>155</v>
      </c>
    </row>
    <row r="3509" spans="1:19" x14ac:dyDescent="0.3">
      <c r="A3509" t="s">
        <v>5600</v>
      </c>
      <c r="B3509" t="s">
        <v>147</v>
      </c>
      <c r="C3509" t="s">
        <v>147</v>
      </c>
      <c r="D3509" t="s">
        <v>2760</v>
      </c>
      <c r="E3509" t="s">
        <v>46</v>
      </c>
      <c r="F3509" t="s">
        <v>29</v>
      </c>
      <c r="G3509" t="s">
        <v>177</v>
      </c>
      <c r="H3509" t="s">
        <v>167</v>
      </c>
      <c r="I3509" t="s">
        <v>151</v>
      </c>
      <c r="J3509" s="96">
        <v>46135</v>
      </c>
      <c r="K3509" s="6">
        <v>46135</v>
      </c>
      <c r="L3509" s="6" t="s">
        <v>4</v>
      </c>
      <c r="M3509" t="s">
        <v>153</v>
      </c>
      <c r="N3509" t="s">
        <v>154</v>
      </c>
      <c r="O3509" s="64">
        <v>3.13</v>
      </c>
      <c r="P3509" s="64">
        <v>0</v>
      </c>
      <c r="Q3509" s="64">
        <v>0</v>
      </c>
      <c r="R3509" s="64">
        <v>3.13</v>
      </c>
      <c r="S3509" t="s">
        <v>155</v>
      </c>
    </row>
    <row r="3510" spans="1:19" x14ac:dyDescent="0.3">
      <c r="A3510" t="s">
        <v>5601</v>
      </c>
      <c r="B3510" t="s">
        <v>147</v>
      </c>
      <c r="C3510" t="s">
        <v>147</v>
      </c>
      <c r="D3510" t="s">
        <v>4630</v>
      </c>
      <c r="E3510" t="s">
        <v>3559</v>
      </c>
      <c r="F3510" t="s">
        <v>17</v>
      </c>
      <c r="G3510" t="s">
        <v>158</v>
      </c>
      <c r="H3510" t="s">
        <v>159</v>
      </c>
      <c r="I3510" t="s">
        <v>151</v>
      </c>
      <c r="J3510" s="96">
        <v>46136</v>
      </c>
      <c r="K3510" s="6">
        <v>46136</v>
      </c>
      <c r="L3510" s="6" t="s">
        <v>4</v>
      </c>
      <c r="M3510" t="s">
        <v>153</v>
      </c>
      <c r="N3510" t="s">
        <v>154</v>
      </c>
      <c r="O3510" s="64">
        <v>20</v>
      </c>
      <c r="P3510" s="64">
        <v>0</v>
      </c>
      <c r="Q3510" s="64">
        <v>0</v>
      </c>
      <c r="R3510" s="64">
        <v>20</v>
      </c>
      <c r="S3510" t="s">
        <v>155</v>
      </c>
    </row>
    <row r="3511" spans="1:19" x14ac:dyDescent="0.3">
      <c r="A3511" t="s">
        <v>5602</v>
      </c>
      <c r="B3511" t="s">
        <v>147</v>
      </c>
      <c r="C3511" t="s">
        <v>147</v>
      </c>
      <c r="D3511" t="s">
        <v>1114</v>
      </c>
      <c r="E3511" t="s">
        <v>30</v>
      </c>
      <c r="F3511" t="s">
        <v>17</v>
      </c>
      <c r="G3511" t="s">
        <v>158</v>
      </c>
      <c r="H3511" t="s">
        <v>159</v>
      </c>
      <c r="I3511" t="s">
        <v>151</v>
      </c>
      <c r="J3511" s="96">
        <v>46136</v>
      </c>
      <c r="K3511" s="6">
        <v>46136</v>
      </c>
      <c r="L3511" s="6" t="s">
        <v>4</v>
      </c>
      <c r="M3511" t="s">
        <v>153</v>
      </c>
      <c r="N3511" t="s">
        <v>154</v>
      </c>
      <c r="O3511" s="64">
        <v>150</v>
      </c>
      <c r="P3511" s="64">
        <v>0</v>
      </c>
      <c r="Q3511" s="64">
        <v>0</v>
      </c>
      <c r="R3511" s="64">
        <v>150</v>
      </c>
      <c r="S3511" t="s">
        <v>155</v>
      </c>
    </row>
    <row r="3512" spans="1:19" x14ac:dyDescent="0.3">
      <c r="A3512" t="s">
        <v>5603</v>
      </c>
      <c r="B3512" t="s">
        <v>147</v>
      </c>
      <c r="C3512" t="s">
        <v>147</v>
      </c>
      <c r="D3512" t="s">
        <v>5604</v>
      </c>
      <c r="E3512" t="s">
        <v>87</v>
      </c>
      <c r="F3512" t="s">
        <v>17</v>
      </c>
      <c r="G3512" t="s">
        <v>158</v>
      </c>
      <c r="H3512" t="s">
        <v>159</v>
      </c>
      <c r="I3512" t="s">
        <v>151</v>
      </c>
      <c r="J3512" s="96">
        <v>46136</v>
      </c>
      <c r="K3512" s="6">
        <v>46136</v>
      </c>
      <c r="L3512" s="6" t="s">
        <v>4</v>
      </c>
      <c r="M3512" t="s">
        <v>153</v>
      </c>
      <c r="N3512" t="s">
        <v>154</v>
      </c>
      <c r="O3512" s="64">
        <v>39.96</v>
      </c>
      <c r="P3512" s="64">
        <v>0</v>
      </c>
      <c r="Q3512" s="64">
        <v>0</v>
      </c>
      <c r="R3512" s="64">
        <v>39.96</v>
      </c>
      <c r="S3512" t="s">
        <v>155</v>
      </c>
    </row>
    <row r="3513" spans="1:19" x14ac:dyDescent="0.3">
      <c r="A3513" t="s">
        <v>5605</v>
      </c>
      <c r="B3513" t="s">
        <v>147</v>
      </c>
      <c r="C3513" t="s">
        <v>147</v>
      </c>
      <c r="D3513" t="s">
        <v>5606</v>
      </c>
      <c r="E3513" t="s">
        <v>104</v>
      </c>
      <c r="F3513" t="s">
        <v>115</v>
      </c>
      <c r="G3513" t="s">
        <v>158</v>
      </c>
      <c r="H3513" t="s">
        <v>159</v>
      </c>
      <c r="I3513" t="s">
        <v>151</v>
      </c>
      <c r="J3513" s="96">
        <v>46136</v>
      </c>
      <c r="K3513" s="6">
        <v>46136</v>
      </c>
      <c r="L3513" s="6" t="s">
        <v>4</v>
      </c>
      <c r="M3513" t="s">
        <v>153</v>
      </c>
      <c r="N3513" t="s">
        <v>154</v>
      </c>
      <c r="O3513" s="64">
        <v>451.2</v>
      </c>
      <c r="P3513" s="64">
        <v>0</v>
      </c>
      <c r="Q3513" s="64">
        <v>0</v>
      </c>
      <c r="R3513" s="64">
        <v>451.2</v>
      </c>
      <c r="S3513" t="s">
        <v>155</v>
      </c>
    </row>
    <row r="3514" spans="1:19" x14ac:dyDescent="0.3">
      <c r="A3514" t="s">
        <v>5607</v>
      </c>
      <c r="B3514" t="s">
        <v>147</v>
      </c>
      <c r="C3514" t="s">
        <v>147</v>
      </c>
      <c r="D3514" t="s">
        <v>5608</v>
      </c>
      <c r="E3514" t="s">
        <v>68</v>
      </c>
      <c r="F3514" t="s">
        <v>17</v>
      </c>
      <c r="G3514" t="s">
        <v>181</v>
      </c>
      <c r="H3514" t="s">
        <v>182</v>
      </c>
      <c r="I3514" t="s">
        <v>151</v>
      </c>
      <c r="J3514" s="96">
        <v>46136</v>
      </c>
      <c r="K3514" s="6">
        <v>46136</v>
      </c>
      <c r="L3514" s="6" t="s">
        <v>4</v>
      </c>
      <c r="M3514" t="s">
        <v>153</v>
      </c>
      <c r="N3514" t="s">
        <v>154</v>
      </c>
      <c r="O3514" s="64">
        <v>380</v>
      </c>
      <c r="P3514" s="64">
        <v>0</v>
      </c>
      <c r="Q3514" s="64">
        <v>0</v>
      </c>
      <c r="R3514" s="64">
        <v>380</v>
      </c>
      <c r="S3514" t="s">
        <v>155</v>
      </c>
    </row>
    <row r="3515" spans="1:19" x14ac:dyDescent="0.3">
      <c r="A3515" t="s">
        <v>5609</v>
      </c>
      <c r="B3515" t="s">
        <v>147</v>
      </c>
      <c r="C3515" t="s">
        <v>147</v>
      </c>
      <c r="D3515" t="s">
        <v>1154</v>
      </c>
      <c r="E3515" t="s">
        <v>30</v>
      </c>
      <c r="F3515" t="s">
        <v>17</v>
      </c>
      <c r="G3515" t="s">
        <v>523</v>
      </c>
      <c r="H3515" t="s">
        <v>167</v>
      </c>
      <c r="I3515" t="s">
        <v>151</v>
      </c>
      <c r="J3515" s="96">
        <v>46136</v>
      </c>
      <c r="K3515" s="6">
        <v>46136</v>
      </c>
      <c r="L3515" s="6" t="s">
        <v>4</v>
      </c>
      <c r="M3515" t="s">
        <v>153</v>
      </c>
      <c r="N3515" t="s">
        <v>154</v>
      </c>
      <c r="O3515" s="64">
        <v>303.58</v>
      </c>
      <c r="P3515" s="64">
        <v>0</v>
      </c>
      <c r="Q3515" s="64">
        <v>0</v>
      </c>
      <c r="R3515" s="64">
        <v>303.58</v>
      </c>
      <c r="S3515" t="s">
        <v>155</v>
      </c>
    </row>
    <row r="3516" spans="1:19" x14ac:dyDescent="0.3">
      <c r="A3516" t="s">
        <v>5610</v>
      </c>
      <c r="B3516" t="s">
        <v>147</v>
      </c>
      <c r="C3516" t="s">
        <v>147</v>
      </c>
      <c r="D3516" t="s">
        <v>5611</v>
      </c>
      <c r="E3516" t="s">
        <v>14</v>
      </c>
      <c r="F3516" t="s">
        <v>15</v>
      </c>
      <c r="G3516" t="s">
        <v>158</v>
      </c>
      <c r="H3516" t="s">
        <v>159</v>
      </c>
      <c r="I3516" t="s">
        <v>151</v>
      </c>
      <c r="J3516" s="96">
        <v>46136</v>
      </c>
      <c r="K3516" s="6">
        <v>46136</v>
      </c>
      <c r="L3516" s="6" t="s">
        <v>4</v>
      </c>
      <c r="M3516" t="s">
        <v>153</v>
      </c>
      <c r="N3516" t="s">
        <v>154</v>
      </c>
      <c r="O3516" s="64">
        <v>38.729999999999997</v>
      </c>
      <c r="P3516" s="64">
        <v>0</v>
      </c>
      <c r="Q3516" s="64">
        <v>0</v>
      </c>
      <c r="R3516" s="64">
        <v>38.729999999999997</v>
      </c>
      <c r="S3516" t="s">
        <v>155</v>
      </c>
    </row>
    <row r="3517" spans="1:19" x14ac:dyDescent="0.3">
      <c r="A3517" t="s">
        <v>5612</v>
      </c>
      <c r="B3517" t="s">
        <v>147</v>
      </c>
      <c r="C3517" t="s">
        <v>147</v>
      </c>
      <c r="D3517" t="s">
        <v>5613</v>
      </c>
      <c r="E3517" t="s">
        <v>87</v>
      </c>
      <c r="F3517" t="s">
        <v>17</v>
      </c>
      <c r="G3517" t="s">
        <v>158</v>
      </c>
      <c r="H3517" t="s">
        <v>159</v>
      </c>
      <c r="I3517" t="s">
        <v>151</v>
      </c>
      <c r="J3517" s="96">
        <v>46139</v>
      </c>
      <c r="K3517" s="6">
        <v>46139</v>
      </c>
      <c r="L3517" s="6" t="s">
        <v>4</v>
      </c>
      <c r="M3517" t="s">
        <v>153</v>
      </c>
      <c r="N3517" t="s">
        <v>154</v>
      </c>
      <c r="O3517" s="64">
        <v>40</v>
      </c>
      <c r="P3517" s="64">
        <v>0</v>
      </c>
      <c r="Q3517" s="64">
        <v>0</v>
      </c>
      <c r="R3517" s="64">
        <v>40</v>
      </c>
      <c r="S3517" t="s">
        <v>155</v>
      </c>
    </row>
    <row r="3518" spans="1:19" x14ac:dyDescent="0.3">
      <c r="A3518" t="s">
        <v>5614</v>
      </c>
      <c r="B3518" t="s">
        <v>147</v>
      </c>
      <c r="C3518" t="s">
        <v>147</v>
      </c>
      <c r="D3518" t="s">
        <v>4630</v>
      </c>
      <c r="E3518" t="s">
        <v>3559</v>
      </c>
      <c r="F3518" t="s">
        <v>17</v>
      </c>
      <c r="G3518" t="s">
        <v>158</v>
      </c>
      <c r="H3518" t="s">
        <v>159</v>
      </c>
      <c r="I3518" t="s">
        <v>151</v>
      </c>
      <c r="J3518" s="96">
        <v>46139</v>
      </c>
      <c r="K3518" s="6">
        <v>46139</v>
      </c>
      <c r="L3518" s="6" t="s">
        <v>4</v>
      </c>
      <c r="M3518" t="s">
        <v>153</v>
      </c>
      <c r="N3518" t="s">
        <v>154</v>
      </c>
      <c r="O3518" s="64">
        <v>20</v>
      </c>
      <c r="P3518" s="64">
        <v>0</v>
      </c>
      <c r="Q3518" s="64">
        <v>0</v>
      </c>
      <c r="R3518" s="64">
        <v>20</v>
      </c>
      <c r="S3518" t="s">
        <v>155</v>
      </c>
    </row>
    <row r="3519" spans="1:19" x14ac:dyDescent="0.3">
      <c r="A3519" t="s">
        <v>5615</v>
      </c>
      <c r="B3519" t="s">
        <v>147</v>
      </c>
      <c r="C3519" t="s">
        <v>147</v>
      </c>
      <c r="D3519" t="s">
        <v>5616</v>
      </c>
      <c r="E3519" t="s">
        <v>104</v>
      </c>
      <c r="F3519" t="s">
        <v>115</v>
      </c>
      <c r="G3519" t="s">
        <v>166</v>
      </c>
      <c r="H3519" t="s">
        <v>167</v>
      </c>
      <c r="I3519" t="s">
        <v>151</v>
      </c>
      <c r="J3519" s="96">
        <v>46139</v>
      </c>
      <c r="K3519" s="6">
        <v>46139</v>
      </c>
      <c r="L3519" s="6" t="s">
        <v>4</v>
      </c>
      <c r="M3519" t="s">
        <v>153</v>
      </c>
      <c r="N3519" t="s">
        <v>154</v>
      </c>
      <c r="O3519" s="64">
        <v>150.4</v>
      </c>
      <c r="P3519" s="64">
        <v>0</v>
      </c>
      <c r="Q3519" s="64">
        <v>0</v>
      </c>
      <c r="R3519" s="64">
        <v>150.4</v>
      </c>
      <c r="S3519" t="s">
        <v>155</v>
      </c>
    </row>
    <row r="3520" spans="1:19" x14ac:dyDescent="0.3">
      <c r="A3520" t="s">
        <v>5617</v>
      </c>
      <c r="B3520" t="s">
        <v>147</v>
      </c>
      <c r="C3520" t="s">
        <v>147</v>
      </c>
      <c r="D3520" t="s">
        <v>5618</v>
      </c>
      <c r="E3520" t="s">
        <v>73</v>
      </c>
      <c r="F3520" t="s">
        <v>17</v>
      </c>
      <c r="G3520" t="s">
        <v>304</v>
      </c>
      <c r="H3520" t="s">
        <v>278</v>
      </c>
      <c r="I3520" t="s">
        <v>151</v>
      </c>
      <c r="J3520" s="96">
        <v>46139</v>
      </c>
      <c r="K3520" s="6">
        <v>46139</v>
      </c>
      <c r="L3520" s="6" t="s">
        <v>4</v>
      </c>
      <c r="M3520" t="s">
        <v>153</v>
      </c>
      <c r="N3520" t="s">
        <v>154</v>
      </c>
      <c r="O3520" s="64">
        <v>344.62</v>
      </c>
      <c r="P3520" s="64">
        <v>0</v>
      </c>
      <c r="Q3520" s="64">
        <v>0</v>
      </c>
      <c r="R3520" s="64">
        <v>344.62</v>
      </c>
      <c r="S3520" t="s">
        <v>155</v>
      </c>
    </row>
    <row r="3521" spans="1:19" x14ac:dyDescent="0.3">
      <c r="A3521" t="s">
        <v>5619</v>
      </c>
      <c r="B3521" t="s">
        <v>147</v>
      </c>
      <c r="C3521" t="s">
        <v>147</v>
      </c>
      <c r="D3521" t="s">
        <v>5620</v>
      </c>
      <c r="E3521" t="s">
        <v>16</v>
      </c>
      <c r="F3521" t="s">
        <v>17</v>
      </c>
      <c r="G3521" t="s">
        <v>166</v>
      </c>
      <c r="H3521" t="s">
        <v>167</v>
      </c>
      <c r="I3521" t="s">
        <v>151</v>
      </c>
      <c r="J3521" s="96">
        <v>46139</v>
      </c>
      <c r="K3521" s="6">
        <v>46139</v>
      </c>
      <c r="L3521" s="6" t="s">
        <v>4</v>
      </c>
      <c r="M3521" t="s">
        <v>153</v>
      </c>
      <c r="N3521" t="s">
        <v>154</v>
      </c>
      <c r="O3521" s="64">
        <v>903</v>
      </c>
      <c r="P3521" s="64">
        <v>0</v>
      </c>
      <c r="Q3521" s="64">
        <v>0</v>
      </c>
      <c r="R3521" s="64">
        <v>903</v>
      </c>
      <c r="S3521" t="s">
        <v>155</v>
      </c>
    </row>
    <row r="3522" spans="1:19" x14ac:dyDescent="0.3">
      <c r="A3522" t="s">
        <v>5621</v>
      </c>
      <c r="B3522" t="s">
        <v>147</v>
      </c>
      <c r="C3522" t="s">
        <v>147</v>
      </c>
      <c r="D3522" t="s">
        <v>5622</v>
      </c>
      <c r="E3522" t="s">
        <v>83</v>
      </c>
      <c r="F3522" t="s">
        <v>17</v>
      </c>
      <c r="G3522" t="s">
        <v>177</v>
      </c>
      <c r="H3522" t="s">
        <v>167</v>
      </c>
      <c r="I3522" t="s">
        <v>151</v>
      </c>
      <c r="J3522" s="96">
        <v>46139</v>
      </c>
      <c r="K3522" s="6">
        <v>46139</v>
      </c>
      <c r="L3522" s="6" t="s">
        <v>4</v>
      </c>
      <c r="M3522" t="s">
        <v>153</v>
      </c>
      <c r="N3522" t="s">
        <v>154</v>
      </c>
      <c r="O3522" s="64">
        <v>114.78</v>
      </c>
      <c r="P3522" s="64">
        <v>0</v>
      </c>
      <c r="Q3522" s="64">
        <v>0</v>
      </c>
      <c r="R3522" s="64">
        <v>114.78</v>
      </c>
      <c r="S3522" t="s">
        <v>155</v>
      </c>
    </row>
    <row r="3523" spans="1:19" x14ac:dyDescent="0.3">
      <c r="A3523" t="s">
        <v>5623</v>
      </c>
      <c r="B3523" t="s">
        <v>147</v>
      </c>
      <c r="C3523" t="s">
        <v>147</v>
      </c>
      <c r="D3523" t="s">
        <v>3360</v>
      </c>
      <c r="E3523" t="s">
        <v>87</v>
      </c>
      <c r="F3523" t="s">
        <v>17</v>
      </c>
      <c r="G3523" t="s">
        <v>166</v>
      </c>
      <c r="H3523" t="s">
        <v>167</v>
      </c>
      <c r="I3523" t="s">
        <v>151</v>
      </c>
      <c r="J3523" s="96">
        <v>46139</v>
      </c>
      <c r="K3523" s="6">
        <v>46139</v>
      </c>
      <c r="L3523" s="6" t="s">
        <v>4</v>
      </c>
      <c r="M3523" t="s">
        <v>153</v>
      </c>
      <c r="N3523" t="s">
        <v>154</v>
      </c>
      <c r="O3523" s="64">
        <v>10.95</v>
      </c>
      <c r="P3523" s="64">
        <v>0</v>
      </c>
      <c r="Q3523" s="64">
        <v>0</v>
      </c>
      <c r="R3523" s="64">
        <v>10.95</v>
      </c>
      <c r="S3523" t="s">
        <v>155</v>
      </c>
    </row>
    <row r="3524" spans="1:19" x14ac:dyDescent="0.3">
      <c r="A3524" t="s">
        <v>5624</v>
      </c>
      <c r="B3524" t="s">
        <v>147</v>
      </c>
      <c r="C3524" t="s">
        <v>147</v>
      </c>
      <c r="D3524" t="s">
        <v>5625</v>
      </c>
      <c r="E3524" t="s">
        <v>39</v>
      </c>
      <c r="F3524" t="s">
        <v>29</v>
      </c>
      <c r="G3524" t="s">
        <v>177</v>
      </c>
      <c r="H3524" t="s">
        <v>167</v>
      </c>
      <c r="I3524" t="s">
        <v>151</v>
      </c>
      <c r="J3524" s="96">
        <v>46139</v>
      </c>
      <c r="K3524" s="6">
        <v>46139</v>
      </c>
      <c r="L3524" s="6" t="s">
        <v>4</v>
      </c>
      <c r="M3524" t="s">
        <v>153</v>
      </c>
      <c r="N3524" t="s">
        <v>154</v>
      </c>
      <c r="O3524" s="64">
        <v>1.6</v>
      </c>
      <c r="P3524" s="64">
        <v>0</v>
      </c>
      <c r="Q3524" s="64">
        <v>0</v>
      </c>
      <c r="R3524" s="64">
        <v>1.6</v>
      </c>
      <c r="S3524" t="s">
        <v>155</v>
      </c>
    </row>
    <row r="3525" spans="1:19" x14ac:dyDescent="0.3">
      <c r="A3525" t="s">
        <v>5626</v>
      </c>
      <c r="B3525" t="s">
        <v>147</v>
      </c>
      <c r="C3525" t="s">
        <v>147</v>
      </c>
      <c r="D3525" t="s">
        <v>5625</v>
      </c>
      <c r="E3525" t="s">
        <v>39</v>
      </c>
      <c r="F3525" t="s">
        <v>29</v>
      </c>
      <c r="G3525" t="s">
        <v>177</v>
      </c>
      <c r="H3525" t="s">
        <v>159</v>
      </c>
      <c r="I3525" t="s">
        <v>151</v>
      </c>
      <c r="J3525" s="96">
        <v>46139</v>
      </c>
      <c r="K3525" s="6">
        <v>46139</v>
      </c>
      <c r="L3525" s="6" t="s">
        <v>4</v>
      </c>
      <c r="M3525" t="s">
        <v>153</v>
      </c>
      <c r="N3525" t="s">
        <v>154</v>
      </c>
      <c r="O3525" s="64">
        <v>1.77</v>
      </c>
      <c r="P3525" s="64">
        <v>0</v>
      </c>
      <c r="Q3525" s="64">
        <v>0</v>
      </c>
      <c r="R3525" s="64">
        <v>1.77</v>
      </c>
      <c r="S3525" t="s">
        <v>155</v>
      </c>
    </row>
    <row r="3526" spans="1:19" x14ac:dyDescent="0.3">
      <c r="A3526" t="s">
        <v>5627</v>
      </c>
      <c r="B3526" t="s">
        <v>147</v>
      </c>
      <c r="C3526" t="s">
        <v>147</v>
      </c>
      <c r="D3526" t="s">
        <v>5628</v>
      </c>
      <c r="E3526" t="s">
        <v>3559</v>
      </c>
      <c r="F3526" t="s">
        <v>17</v>
      </c>
      <c r="G3526" t="s">
        <v>158</v>
      </c>
      <c r="H3526" t="s">
        <v>159</v>
      </c>
      <c r="I3526" t="s">
        <v>151</v>
      </c>
      <c r="J3526" s="96">
        <v>46139</v>
      </c>
      <c r="K3526" s="6">
        <v>46139</v>
      </c>
      <c r="L3526" s="6" t="s">
        <v>4</v>
      </c>
      <c r="M3526" t="s">
        <v>153</v>
      </c>
      <c r="N3526" t="s">
        <v>154</v>
      </c>
      <c r="O3526" s="64">
        <v>240</v>
      </c>
      <c r="P3526" s="64">
        <v>0</v>
      </c>
      <c r="Q3526" s="64">
        <v>0</v>
      </c>
      <c r="R3526" s="64">
        <v>240</v>
      </c>
      <c r="S3526" t="s">
        <v>155</v>
      </c>
    </row>
    <row r="3527" spans="1:19" x14ac:dyDescent="0.3">
      <c r="A3527" t="s">
        <v>5629</v>
      </c>
      <c r="B3527" t="s">
        <v>147</v>
      </c>
      <c r="C3527" t="s">
        <v>147</v>
      </c>
      <c r="D3527" t="s">
        <v>5630</v>
      </c>
      <c r="E3527" t="s">
        <v>3665</v>
      </c>
      <c r="F3527" t="s">
        <v>121</v>
      </c>
      <c r="G3527" t="s">
        <v>181</v>
      </c>
      <c r="H3527" t="s">
        <v>182</v>
      </c>
      <c r="I3527" t="s">
        <v>151</v>
      </c>
      <c r="J3527" s="96">
        <v>46139</v>
      </c>
      <c r="K3527" s="6">
        <v>46139</v>
      </c>
      <c r="L3527" s="6" t="s">
        <v>4</v>
      </c>
      <c r="M3527" t="s">
        <v>153</v>
      </c>
      <c r="N3527" t="s">
        <v>154</v>
      </c>
      <c r="O3527" s="64">
        <v>190000</v>
      </c>
      <c r="P3527" s="64">
        <v>0</v>
      </c>
      <c r="Q3527" s="64">
        <v>0</v>
      </c>
      <c r="R3527" s="64">
        <v>190000</v>
      </c>
      <c r="S3527" t="s">
        <v>155</v>
      </c>
    </row>
    <row r="3528" spans="1:19" x14ac:dyDescent="0.3">
      <c r="A3528" t="s">
        <v>5631</v>
      </c>
      <c r="B3528" t="s">
        <v>147</v>
      </c>
      <c r="C3528" t="s">
        <v>147</v>
      </c>
      <c r="D3528" t="s">
        <v>5632</v>
      </c>
      <c r="E3528" t="s">
        <v>31</v>
      </c>
      <c r="F3528" t="s">
        <v>121</v>
      </c>
      <c r="G3528" t="s">
        <v>158</v>
      </c>
      <c r="H3528" t="s">
        <v>159</v>
      </c>
      <c r="I3528" t="s">
        <v>151</v>
      </c>
      <c r="J3528" s="96">
        <v>46140</v>
      </c>
      <c r="K3528" s="6">
        <v>46140</v>
      </c>
      <c r="L3528" s="6" t="s">
        <v>4</v>
      </c>
      <c r="M3528" t="s">
        <v>153</v>
      </c>
      <c r="N3528" t="s">
        <v>154</v>
      </c>
      <c r="O3528" s="64">
        <v>2115.66</v>
      </c>
      <c r="P3528" s="64">
        <v>0</v>
      </c>
      <c r="Q3528" s="64">
        <v>0</v>
      </c>
      <c r="R3528" s="64">
        <v>2115.66</v>
      </c>
      <c r="S3528" t="s">
        <v>155</v>
      </c>
    </row>
    <row r="3529" spans="1:19" x14ac:dyDescent="0.3">
      <c r="A3529" t="s">
        <v>5633</v>
      </c>
      <c r="B3529" t="s">
        <v>147</v>
      </c>
      <c r="C3529" t="s">
        <v>147</v>
      </c>
      <c r="D3529" t="s">
        <v>5634</v>
      </c>
      <c r="E3529" t="s">
        <v>30</v>
      </c>
      <c r="F3529" t="s">
        <v>17</v>
      </c>
      <c r="G3529" t="s">
        <v>158</v>
      </c>
      <c r="H3529" t="s">
        <v>159</v>
      </c>
      <c r="I3529" t="s">
        <v>151</v>
      </c>
      <c r="J3529" s="96">
        <v>46140</v>
      </c>
      <c r="K3529" s="6">
        <v>46140</v>
      </c>
      <c r="L3529" s="6" t="s">
        <v>4</v>
      </c>
      <c r="M3529" t="s">
        <v>153</v>
      </c>
      <c r="N3529" t="s">
        <v>154</v>
      </c>
      <c r="O3529" s="64">
        <v>450</v>
      </c>
      <c r="P3529" s="64">
        <v>0</v>
      </c>
      <c r="Q3529" s="64">
        <v>0</v>
      </c>
      <c r="R3529" s="64">
        <v>450</v>
      </c>
      <c r="S3529" t="s">
        <v>155</v>
      </c>
    </row>
    <row r="3530" spans="1:19" x14ac:dyDescent="0.3">
      <c r="A3530" t="s">
        <v>5635</v>
      </c>
      <c r="B3530" t="s">
        <v>147</v>
      </c>
      <c r="C3530" t="s">
        <v>147</v>
      </c>
      <c r="D3530" t="s">
        <v>5636</v>
      </c>
      <c r="E3530" t="s">
        <v>5637</v>
      </c>
      <c r="F3530" t="s">
        <v>115</v>
      </c>
      <c r="G3530" t="s">
        <v>166</v>
      </c>
      <c r="H3530" t="s">
        <v>167</v>
      </c>
      <c r="I3530" t="s">
        <v>151</v>
      </c>
      <c r="J3530" s="96">
        <v>46140</v>
      </c>
      <c r="K3530" s="6">
        <v>46140</v>
      </c>
      <c r="L3530" s="6" t="s">
        <v>4</v>
      </c>
      <c r="M3530" t="s">
        <v>153</v>
      </c>
      <c r="N3530" t="s">
        <v>154</v>
      </c>
      <c r="O3530" s="64">
        <v>2737.49</v>
      </c>
      <c r="P3530" s="64">
        <v>0</v>
      </c>
      <c r="Q3530" s="64">
        <v>0</v>
      </c>
      <c r="R3530" s="64">
        <v>2737.49</v>
      </c>
      <c r="S3530" t="s">
        <v>155</v>
      </c>
    </row>
    <row r="3531" spans="1:19" x14ac:dyDescent="0.3">
      <c r="A3531" t="s">
        <v>5638</v>
      </c>
      <c r="B3531" t="s">
        <v>147</v>
      </c>
      <c r="C3531" t="s">
        <v>147</v>
      </c>
      <c r="D3531" t="s">
        <v>449</v>
      </c>
      <c r="E3531" t="s">
        <v>18</v>
      </c>
      <c r="F3531" t="s">
        <v>115</v>
      </c>
      <c r="G3531" t="s">
        <v>158</v>
      </c>
      <c r="H3531" t="s">
        <v>159</v>
      </c>
      <c r="I3531" t="s">
        <v>151</v>
      </c>
      <c r="J3531" s="96">
        <v>46140</v>
      </c>
      <c r="K3531" s="6">
        <v>46140</v>
      </c>
      <c r="L3531" s="6" t="s">
        <v>4</v>
      </c>
      <c r="M3531" t="s">
        <v>153</v>
      </c>
      <c r="N3531" t="s">
        <v>154</v>
      </c>
      <c r="O3531" s="64">
        <v>73.98</v>
      </c>
      <c r="P3531" s="64">
        <v>0</v>
      </c>
      <c r="Q3531" s="64">
        <v>0</v>
      </c>
      <c r="R3531" s="64">
        <v>73.98</v>
      </c>
      <c r="S3531" t="s">
        <v>155</v>
      </c>
    </row>
    <row r="3532" spans="1:19" x14ac:dyDescent="0.3">
      <c r="A3532" t="s">
        <v>5639</v>
      </c>
      <c r="B3532" t="s">
        <v>147</v>
      </c>
      <c r="C3532" t="s">
        <v>147</v>
      </c>
      <c r="D3532" t="s">
        <v>5640</v>
      </c>
      <c r="E3532" t="s">
        <v>30</v>
      </c>
      <c r="F3532" t="s">
        <v>17</v>
      </c>
      <c r="G3532" t="s">
        <v>158</v>
      </c>
      <c r="H3532" t="s">
        <v>159</v>
      </c>
      <c r="I3532" t="s">
        <v>151</v>
      </c>
      <c r="J3532" s="96">
        <v>46140</v>
      </c>
      <c r="K3532" s="6">
        <v>46140</v>
      </c>
      <c r="L3532" s="6" t="s">
        <v>4</v>
      </c>
      <c r="M3532" t="s">
        <v>153</v>
      </c>
      <c r="N3532" t="s">
        <v>154</v>
      </c>
      <c r="O3532" s="64">
        <v>100</v>
      </c>
      <c r="P3532" s="64">
        <v>0</v>
      </c>
      <c r="Q3532" s="64">
        <v>0</v>
      </c>
      <c r="R3532" s="64">
        <v>100</v>
      </c>
      <c r="S3532" t="s">
        <v>155</v>
      </c>
    </row>
    <row r="3533" spans="1:19" x14ac:dyDescent="0.3">
      <c r="A3533" t="s">
        <v>5641</v>
      </c>
      <c r="B3533" t="s">
        <v>147</v>
      </c>
      <c r="C3533" t="s">
        <v>147</v>
      </c>
      <c r="D3533" t="s">
        <v>5642</v>
      </c>
      <c r="E3533" t="s">
        <v>3665</v>
      </c>
      <c r="F3533" t="s">
        <v>121</v>
      </c>
      <c r="G3533" t="s">
        <v>213</v>
      </c>
      <c r="H3533" t="s">
        <v>159</v>
      </c>
      <c r="I3533" t="s">
        <v>151</v>
      </c>
      <c r="J3533" s="96">
        <v>46140</v>
      </c>
      <c r="K3533" s="6">
        <v>46140</v>
      </c>
      <c r="L3533" s="6" t="s">
        <v>4</v>
      </c>
      <c r="M3533" t="s">
        <v>153</v>
      </c>
      <c r="N3533" t="s">
        <v>154</v>
      </c>
      <c r="O3533" s="64">
        <v>69806.17</v>
      </c>
      <c r="P3533" s="64">
        <v>0</v>
      </c>
      <c r="Q3533" s="64">
        <v>0</v>
      </c>
      <c r="R3533" s="64">
        <v>69806.17</v>
      </c>
      <c r="S3533" t="s">
        <v>155</v>
      </c>
    </row>
    <row r="3534" spans="1:19" x14ac:dyDescent="0.3">
      <c r="A3534" t="s">
        <v>5643</v>
      </c>
      <c r="B3534" t="s">
        <v>147</v>
      </c>
      <c r="C3534" t="s">
        <v>147</v>
      </c>
      <c r="D3534" t="s">
        <v>2573</v>
      </c>
      <c r="E3534" t="s">
        <v>39</v>
      </c>
      <c r="F3534" t="s">
        <v>29</v>
      </c>
      <c r="G3534" t="s">
        <v>177</v>
      </c>
      <c r="H3534" t="s">
        <v>167</v>
      </c>
      <c r="I3534" t="s">
        <v>151</v>
      </c>
      <c r="J3534" s="96">
        <v>46140</v>
      </c>
      <c r="K3534" s="6">
        <v>46140</v>
      </c>
      <c r="L3534" s="6" t="s">
        <v>4</v>
      </c>
      <c r="M3534" t="s">
        <v>153</v>
      </c>
      <c r="N3534" t="s">
        <v>154</v>
      </c>
      <c r="O3534" s="64">
        <v>3.2</v>
      </c>
      <c r="P3534" s="64">
        <v>0</v>
      </c>
      <c r="Q3534" s="64">
        <v>0</v>
      </c>
      <c r="R3534" s="64">
        <v>3.2</v>
      </c>
      <c r="S3534" t="s">
        <v>155</v>
      </c>
    </row>
    <row r="3535" spans="1:19" x14ac:dyDescent="0.3">
      <c r="A3535" t="s">
        <v>5644</v>
      </c>
      <c r="B3535" t="s">
        <v>147</v>
      </c>
      <c r="C3535" t="s">
        <v>147</v>
      </c>
      <c r="D3535" t="s">
        <v>2760</v>
      </c>
      <c r="E3535" t="s">
        <v>46</v>
      </c>
      <c r="F3535" t="s">
        <v>29</v>
      </c>
      <c r="G3535" t="s">
        <v>177</v>
      </c>
      <c r="H3535" t="s">
        <v>167</v>
      </c>
      <c r="I3535" t="s">
        <v>151</v>
      </c>
      <c r="J3535" s="96">
        <v>46140</v>
      </c>
      <c r="K3535" s="6">
        <v>46140</v>
      </c>
      <c r="L3535" s="6" t="s">
        <v>4</v>
      </c>
      <c r="M3535" t="s">
        <v>153</v>
      </c>
      <c r="N3535" t="s">
        <v>154</v>
      </c>
      <c r="O3535" s="64">
        <v>15.65</v>
      </c>
      <c r="P3535" s="64">
        <v>0</v>
      </c>
      <c r="Q3535" s="64">
        <v>0</v>
      </c>
      <c r="R3535" s="64">
        <v>15.65</v>
      </c>
      <c r="S3535" t="s">
        <v>155</v>
      </c>
    </row>
    <row r="3536" spans="1:19" x14ac:dyDescent="0.3">
      <c r="A3536" t="s">
        <v>5645</v>
      </c>
      <c r="B3536" t="s">
        <v>147</v>
      </c>
      <c r="C3536" t="s">
        <v>147</v>
      </c>
      <c r="D3536" t="s">
        <v>2573</v>
      </c>
      <c r="E3536" t="s">
        <v>39</v>
      </c>
      <c r="F3536" t="s">
        <v>29</v>
      </c>
      <c r="G3536" t="s">
        <v>177</v>
      </c>
      <c r="H3536" t="s">
        <v>159</v>
      </c>
      <c r="I3536" t="s">
        <v>151</v>
      </c>
      <c r="J3536" s="96">
        <v>46140</v>
      </c>
      <c r="K3536" s="6">
        <v>46140</v>
      </c>
      <c r="L3536" s="6" t="s">
        <v>4</v>
      </c>
      <c r="M3536" t="s">
        <v>153</v>
      </c>
      <c r="N3536" t="s">
        <v>154</v>
      </c>
      <c r="O3536" s="64">
        <v>5.31</v>
      </c>
      <c r="P3536" s="64">
        <v>0</v>
      </c>
      <c r="Q3536" s="64">
        <v>0</v>
      </c>
      <c r="R3536" s="64">
        <v>5.31</v>
      </c>
      <c r="S3536" t="s">
        <v>155</v>
      </c>
    </row>
    <row r="3537" spans="1:19" x14ac:dyDescent="0.3">
      <c r="A3537" t="s">
        <v>5646</v>
      </c>
      <c r="B3537" t="s">
        <v>147</v>
      </c>
      <c r="C3537" t="s">
        <v>147</v>
      </c>
      <c r="D3537" t="s">
        <v>3394</v>
      </c>
      <c r="E3537" t="s">
        <v>87</v>
      </c>
      <c r="F3537" t="s">
        <v>17</v>
      </c>
      <c r="G3537" t="s">
        <v>158</v>
      </c>
      <c r="H3537" t="s">
        <v>159</v>
      </c>
      <c r="I3537" t="s">
        <v>151</v>
      </c>
      <c r="J3537" s="96">
        <v>46141</v>
      </c>
      <c r="K3537" s="6">
        <v>46141</v>
      </c>
      <c r="L3537" s="6" t="s">
        <v>4</v>
      </c>
      <c r="M3537" t="s">
        <v>153</v>
      </c>
      <c r="N3537" t="s">
        <v>154</v>
      </c>
      <c r="O3537" s="64">
        <v>40.950000000000003</v>
      </c>
      <c r="P3537" s="64">
        <v>0</v>
      </c>
      <c r="Q3537" s="64">
        <v>0</v>
      </c>
      <c r="R3537" s="64">
        <v>40.950000000000003</v>
      </c>
      <c r="S3537" t="s">
        <v>155</v>
      </c>
    </row>
    <row r="3538" spans="1:19" x14ac:dyDescent="0.3">
      <c r="A3538" t="s">
        <v>5647</v>
      </c>
      <c r="B3538" t="s">
        <v>147</v>
      </c>
      <c r="C3538" t="s">
        <v>147</v>
      </c>
      <c r="D3538" t="s">
        <v>5648</v>
      </c>
      <c r="E3538" t="s">
        <v>72</v>
      </c>
      <c r="F3538" t="s">
        <v>17</v>
      </c>
      <c r="G3538" t="s">
        <v>158</v>
      </c>
      <c r="H3538" t="s">
        <v>159</v>
      </c>
      <c r="I3538" t="s">
        <v>151</v>
      </c>
      <c r="J3538" s="96">
        <v>46141</v>
      </c>
      <c r="K3538" s="6">
        <v>46141</v>
      </c>
      <c r="L3538" s="6" t="s">
        <v>4</v>
      </c>
      <c r="M3538" t="s">
        <v>153</v>
      </c>
      <c r="N3538" t="s">
        <v>154</v>
      </c>
      <c r="O3538" s="64">
        <v>375</v>
      </c>
      <c r="P3538" s="64">
        <v>0</v>
      </c>
      <c r="Q3538" s="64">
        <v>0</v>
      </c>
      <c r="R3538" s="64">
        <v>375</v>
      </c>
      <c r="S3538" t="s">
        <v>155</v>
      </c>
    </row>
    <row r="3539" spans="1:19" x14ac:dyDescent="0.3">
      <c r="A3539" t="s">
        <v>5649</v>
      </c>
      <c r="B3539" t="s">
        <v>147</v>
      </c>
      <c r="C3539" t="s">
        <v>147</v>
      </c>
      <c r="D3539" t="s">
        <v>5650</v>
      </c>
      <c r="E3539" t="s">
        <v>39</v>
      </c>
      <c r="F3539" t="s">
        <v>29</v>
      </c>
      <c r="G3539" t="s">
        <v>177</v>
      </c>
      <c r="H3539" t="s">
        <v>167</v>
      </c>
      <c r="I3539" t="s">
        <v>151</v>
      </c>
      <c r="J3539" s="96">
        <v>46141</v>
      </c>
      <c r="K3539" s="6">
        <v>46141</v>
      </c>
      <c r="L3539" s="6" t="s">
        <v>4</v>
      </c>
      <c r="M3539" t="s">
        <v>153</v>
      </c>
      <c r="N3539" t="s">
        <v>154</v>
      </c>
      <c r="O3539" s="64">
        <v>1.6</v>
      </c>
      <c r="P3539" s="64">
        <v>0</v>
      </c>
      <c r="Q3539" s="64">
        <v>0</v>
      </c>
      <c r="R3539" s="64">
        <v>1.6</v>
      </c>
      <c r="S3539" t="s">
        <v>155</v>
      </c>
    </row>
    <row r="3540" spans="1:19" x14ac:dyDescent="0.3">
      <c r="A3540" t="s">
        <v>5651</v>
      </c>
      <c r="B3540" t="s">
        <v>147</v>
      </c>
      <c r="C3540" t="s">
        <v>147</v>
      </c>
      <c r="D3540" t="s">
        <v>2760</v>
      </c>
      <c r="E3540" t="s">
        <v>39</v>
      </c>
      <c r="F3540" t="s">
        <v>29</v>
      </c>
      <c r="G3540" t="s">
        <v>177</v>
      </c>
      <c r="H3540" t="s">
        <v>167</v>
      </c>
      <c r="I3540" t="s">
        <v>151</v>
      </c>
      <c r="J3540" s="96">
        <v>46141</v>
      </c>
      <c r="K3540" s="6">
        <v>46141</v>
      </c>
      <c r="L3540" s="6" t="s">
        <v>4</v>
      </c>
      <c r="M3540" t="s">
        <v>153</v>
      </c>
      <c r="N3540" t="s">
        <v>154</v>
      </c>
      <c r="O3540" s="64">
        <v>6.26</v>
      </c>
      <c r="P3540" s="64">
        <v>0</v>
      </c>
      <c r="Q3540" s="64">
        <v>0</v>
      </c>
      <c r="R3540" s="64">
        <v>6.26</v>
      </c>
      <c r="S3540" t="s">
        <v>155</v>
      </c>
    </row>
    <row r="3541" spans="1:19" x14ac:dyDescent="0.3">
      <c r="A3541" t="s">
        <v>5652</v>
      </c>
      <c r="B3541" t="s">
        <v>147</v>
      </c>
      <c r="C3541" t="s">
        <v>147</v>
      </c>
      <c r="D3541" t="s">
        <v>734</v>
      </c>
      <c r="E3541" t="s">
        <v>21</v>
      </c>
      <c r="F3541" t="s">
        <v>17</v>
      </c>
      <c r="G3541" t="s">
        <v>213</v>
      </c>
      <c r="H3541" t="s">
        <v>167</v>
      </c>
      <c r="I3541" t="s">
        <v>151</v>
      </c>
      <c r="J3541" s="96">
        <v>46142</v>
      </c>
      <c r="K3541" s="6">
        <v>46142</v>
      </c>
      <c r="L3541" s="6" t="s">
        <v>4</v>
      </c>
      <c r="M3541" t="s">
        <v>153</v>
      </c>
      <c r="N3541" t="s">
        <v>154</v>
      </c>
      <c r="O3541" s="64">
        <v>2820</v>
      </c>
      <c r="P3541" s="64">
        <v>0</v>
      </c>
      <c r="Q3541" s="64">
        <v>0</v>
      </c>
      <c r="R3541" s="64">
        <v>2820</v>
      </c>
      <c r="S3541" t="s">
        <v>155</v>
      </c>
    </row>
    <row r="3542" spans="1:19" x14ac:dyDescent="0.3">
      <c r="A3542" t="s">
        <v>5653</v>
      </c>
      <c r="B3542" t="s">
        <v>147</v>
      </c>
      <c r="C3542" t="s">
        <v>147</v>
      </c>
      <c r="D3542" t="s">
        <v>1544</v>
      </c>
      <c r="E3542" t="s">
        <v>57</v>
      </c>
      <c r="F3542" t="s">
        <v>17</v>
      </c>
      <c r="G3542" t="s">
        <v>213</v>
      </c>
      <c r="H3542" t="s">
        <v>167</v>
      </c>
      <c r="I3542" t="s">
        <v>151</v>
      </c>
      <c r="J3542" s="96">
        <v>46142</v>
      </c>
      <c r="K3542" s="6">
        <v>46142</v>
      </c>
      <c r="L3542" s="6" t="s">
        <v>4</v>
      </c>
      <c r="M3542" t="s">
        <v>153</v>
      </c>
      <c r="N3542" t="s">
        <v>154</v>
      </c>
      <c r="O3542" s="64">
        <v>473.96</v>
      </c>
      <c r="P3542" s="64">
        <v>0</v>
      </c>
      <c r="Q3542" s="64">
        <v>0</v>
      </c>
      <c r="R3542" s="64">
        <v>473.96</v>
      </c>
      <c r="S3542" t="s">
        <v>155</v>
      </c>
    </row>
    <row r="3543" spans="1:19" x14ac:dyDescent="0.3">
      <c r="A3543" t="s">
        <v>5654</v>
      </c>
      <c r="B3543" t="s">
        <v>147</v>
      </c>
      <c r="C3543" t="s">
        <v>147</v>
      </c>
      <c r="D3543" t="s">
        <v>5655</v>
      </c>
      <c r="E3543" t="s">
        <v>28</v>
      </c>
      <c r="F3543" t="s">
        <v>115</v>
      </c>
      <c r="G3543" t="s">
        <v>158</v>
      </c>
      <c r="H3543" t="s">
        <v>159</v>
      </c>
      <c r="I3543" t="s">
        <v>151</v>
      </c>
      <c r="J3543" s="96">
        <v>46142</v>
      </c>
      <c r="K3543" s="6">
        <v>46142</v>
      </c>
      <c r="L3543" s="6" t="s">
        <v>4</v>
      </c>
      <c r="M3543" t="s">
        <v>153</v>
      </c>
      <c r="N3543" t="s">
        <v>154</v>
      </c>
      <c r="O3543" s="64">
        <v>100</v>
      </c>
      <c r="P3543" s="64">
        <v>0</v>
      </c>
      <c r="Q3543" s="64">
        <v>0</v>
      </c>
      <c r="R3543" s="64">
        <v>100</v>
      </c>
      <c r="S3543" t="s">
        <v>155</v>
      </c>
    </row>
    <row r="3544" spans="1:19" x14ac:dyDescent="0.3">
      <c r="A3544" t="s">
        <v>5656</v>
      </c>
      <c r="B3544" t="s">
        <v>147</v>
      </c>
      <c r="C3544" t="s">
        <v>147</v>
      </c>
      <c r="D3544" t="s">
        <v>4416</v>
      </c>
      <c r="E3544" t="s">
        <v>3559</v>
      </c>
      <c r="F3544" t="s">
        <v>17</v>
      </c>
      <c r="G3544" t="s">
        <v>158</v>
      </c>
      <c r="H3544" t="s">
        <v>159</v>
      </c>
      <c r="I3544" t="s">
        <v>151</v>
      </c>
      <c r="J3544" s="96">
        <v>46142</v>
      </c>
      <c r="K3544" s="6">
        <v>46142</v>
      </c>
      <c r="L3544" s="6" t="s">
        <v>4</v>
      </c>
      <c r="M3544" t="s">
        <v>153</v>
      </c>
      <c r="N3544" t="s">
        <v>154</v>
      </c>
      <c r="O3544" s="64">
        <v>20</v>
      </c>
      <c r="P3544" s="64">
        <v>0</v>
      </c>
      <c r="Q3544" s="64">
        <v>0</v>
      </c>
      <c r="R3544" s="64">
        <v>20</v>
      </c>
      <c r="S3544" t="s">
        <v>155</v>
      </c>
    </row>
    <row r="3545" spans="1:19" x14ac:dyDescent="0.3">
      <c r="A3545" t="s">
        <v>5657</v>
      </c>
      <c r="B3545" t="s">
        <v>147</v>
      </c>
      <c r="C3545" t="s">
        <v>147</v>
      </c>
      <c r="D3545" t="s">
        <v>5658</v>
      </c>
      <c r="E3545" t="s">
        <v>104</v>
      </c>
      <c r="F3545" t="s">
        <v>115</v>
      </c>
      <c r="G3545" t="s">
        <v>149</v>
      </c>
      <c r="H3545" t="s">
        <v>150</v>
      </c>
      <c r="I3545" t="s">
        <v>151</v>
      </c>
      <c r="J3545" s="96">
        <v>46142</v>
      </c>
      <c r="K3545" s="6">
        <v>46142</v>
      </c>
      <c r="L3545" s="6" t="s">
        <v>4</v>
      </c>
      <c r="M3545" t="s">
        <v>153</v>
      </c>
      <c r="N3545" t="s">
        <v>154</v>
      </c>
      <c r="O3545" s="64">
        <v>756</v>
      </c>
      <c r="P3545" s="64">
        <v>0</v>
      </c>
      <c r="Q3545" s="64">
        <v>0</v>
      </c>
      <c r="R3545" s="64">
        <v>756</v>
      </c>
      <c r="S3545" t="s">
        <v>155</v>
      </c>
    </row>
    <row r="3546" spans="1:19" x14ac:dyDescent="0.3">
      <c r="A3546" t="s">
        <v>5659</v>
      </c>
      <c r="B3546" t="s">
        <v>147</v>
      </c>
      <c r="C3546" t="s">
        <v>147</v>
      </c>
      <c r="D3546" t="s">
        <v>5660</v>
      </c>
      <c r="E3546" t="s">
        <v>104</v>
      </c>
      <c r="F3546" t="s">
        <v>115</v>
      </c>
      <c r="G3546" t="s">
        <v>149</v>
      </c>
      <c r="H3546" t="s">
        <v>150</v>
      </c>
      <c r="I3546" t="s">
        <v>151</v>
      </c>
      <c r="J3546" s="96">
        <v>46142</v>
      </c>
      <c r="K3546" s="6">
        <v>46142</v>
      </c>
      <c r="L3546" s="6" t="s">
        <v>4</v>
      </c>
      <c r="M3546" t="s">
        <v>153</v>
      </c>
      <c r="N3546" t="s">
        <v>154</v>
      </c>
      <c r="O3546" s="64">
        <v>756</v>
      </c>
      <c r="P3546" s="64">
        <v>0</v>
      </c>
      <c r="Q3546" s="64">
        <v>0</v>
      </c>
      <c r="R3546" s="64">
        <v>756</v>
      </c>
      <c r="S3546" t="s">
        <v>155</v>
      </c>
    </row>
    <row r="3547" spans="1:19" x14ac:dyDescent="0.3">
      <c r="A3547" t="s">
        <v>5661</v>
      </c>
      <c r="B3547" t="s">
        <v>147</v>
      </c>
      <c r="C3547" t="s">
        <v>147</v>
      </c>
      <c r="D3547" t="s">
        <v>5662</v>
      </c>
      <c r="E3547" t="s">
        <v>104</v>
      </c>
      <c r="F3547" t="s">
        <v>115</v>
      </c>
      <c r="G3547" t="s">
        <v>149</v>
      </c>
      <c r="H3547" t="s">
        <v>150</v>
      </c>
      <c r="I3547" t="s">
        <v>151</v>
      </c>
      <c r="J3547" s="96">
        <v>46142</v>
      </c>
      <c r="K3547" s="6">
        <v>46142</v>
      </c>
      <c r="L3547" s="6" t="s">
        <v>4</v>
      </c>
      <c r="M3547" t="s">
        <v>153</v>
      </c>
      <c r="N3547" t="s">
        <v>154</v>
      </c>
      <c r="O3547" s="64">
        <v>756</v>
      </c>
      <c r="P3547" s="64">
        <v>0</v>
      </c>
      <c r="Q3547" s="64">
        <v>0</v>
      </c>
      <c r="R3547" s="64">
        <v>756</v>
      </c>
      <c r="S3547" t="s">
        <v>155</v>
      </c>
    </row>
    <row r="3548" spans="1:19" x14ac:dyDescent="0.3">
      <c r="A3548" t="s">
        <v>5663</v>
      </c>
      <c r="B3548" t="s">
        <v>147</v>
      </c>
      <c r="C3548" t="s">
        <v>147</v>
      </c>
      <c r="D3548" t="s">
        <v>5664</v>
      </c>
      <c r="E3548" t="s">
        <v>104</v>
      </c>
      <c r="F3548" t="s">
        <v>115</v>
      </c>
      <c r="G3548" t="s">
        <v>149</v>
      </c>
      <c r="H3548" t="s">
        <v>150</v>
      </c>
      <c r="I3548" t="s">
        <v>151</v>
      </c>
      <c r="J3548" s="96">
        <v>46142</v>
      </c>
      <c r="K3548" s="6">
        <v>46142</v>
      </c>
      <c r="L3548" s="6" t="s">
        <v>4</v>
      </c>
      <c r="M3548" t="s">
        <v>153</v>
      </c>
      <c r="N3548" t="s">
        <v>154</v>
      </c>
      <c r="O3548" s="64">
        <v>756</v>
      </c>
      <c r="P3548" s="64">
        <v>0</v>
      </c>
      <c r="Q3548" s="64">
        <v>0</v>
      </c>
      <c r="R3548" s="64">
        <v>756</v>
      </c>
      <c r="S3548" t="s">
        <v>155</v>
      </c>
    </row>
    <row r="3549" spans="1:19" x14ac:dyDescent="0.3">
      <c r="A3549" t="s">
        <v>5665</v>
      </c>
      <c r="B3549" t="s">
        <v>147</v>
      </c>
      <c r="C3549" t="s">
        <v>147</v>
      </c>
      <c r="D3549" t="s">
        <v>449</v>
      </c>
      <c r="E3549" t="s">
        <v>18</v>
      </c>
      <c r="F3549" t="s">
        <v>115</v>
      </c>
      <c r="G3549" t="s">
        <v>158</v>
      </c>
      <c r="H3549" t="s">
        <v>159</v>
      </c>
      <c r="I3549" t="s">
        <v>151</v>
      </c>
      <c r="J3549" s="96">
        <v>46142</v>
      </c>
      <c r="K3549" s="6">
        <v>46142</v>
      </c>
      <c r="L3549" s="6" t="s">
        <v>4</v>
      </c>
      <c r="M3549" t="s">
        <v>153</v>
      </c>
      <c r="N3549" t="s">
        <v>154</v>
      </c>
      <c r="O3549" s="64">
        <v>55</v>
      </c>
      <c r="P3549" s="64">
        <v>0</v>
      </c>
      <c r="Q3549" s="64">
        <v>0</v>
      </c>
      <c r="R3549" s="64">
        <v>55</v>
      </c>
      <c r="S3549" t="s">
        <v>155</v>
      </c>
    </row>
    <row r="3550" spans="1:19" x14ac:dyDescent="0.3">
      <c r="A3550" t="s">
        <v>5666</v>
      </c>
      <c r="B3550" t="s">
        <v>147</v>
      </c>
      <c r="C3550" t="s">
        <v>147</v>
      </c>
      <c r="D3550" t="s">
        <v>449</v>
      </c>
      <c r="E3550" t="s">
        <v>18</v>
      </c>
      <c r="F3550" t="s">
        <v>115</v>
      </c>
      <c r="G3550" t="s">
        <v>158</v>
      </c>
      <c r="H3550" t="s">
        <v>159</v>
      </c>
      <c r="I3550" t="s">
        <v>151</v>
      </c>
      <c r="J3550" s="96">
        <v>46142</v>
      </c>
      <c r="K3550" s="6">
        <v>46142</v>
      </c>
      <c r="L3550" s="6" t="s">
        <v>4</v>
      </c>
      <c r="M3550" t="s">
        <v>153</v>
      </c>
      <c r="N3550" t="s">
        <v>154</v>
      </c>
      <c r="O3550" s="64">
        <v>36.99</v>
      </c>
      <c r="P3550" s="64">
        <v>0</v>
      </c>
      <c r="Q3550" s="64">
        <v>0</v>
      </c>
      <c r="R3550" s="64">
        <v>36.99</v>
      </c>
      <c r="S3550" t="s">
        <v>155</v>
      </c>
    </row>
    <row r="3551" spans="1:19" x14ac:dyDescent="0.3">
      <c r="A3551" t="s">
        <v>5667</v>
      </c>
      <c r="B3551" t="s">
        <v>147</v>
      </c>
      <c r="C3551" t="s">
        <v>147</v>
      </c>
      <c r="D3551" t="s">
        <v>5668</v>
      </c>
      <c r="E3551" t="s">
        <v>50</v>
      </c>
      <c r="F3551" t="s">
        <v>25</v>
      </c>
      <c r="G3551" t="s">
        <v>166</v>
      </c>
      <c r="H3551" t="s">
        <v>278</v>
      </c>
      <c r="I3551" t="s">
        <v>151</v>
      </c>
      <c r="J3551" s="96">
        <v>46142</v>
      </c>
      <c r="K3551" s="6">
        <v>46142</v>
      </c>
      <c r="L3551" s="6" t="s">
        <v>4</v>
      </c>
      <c r="M3551" t="s">
        <v>153</v>
      </c>
      <c r="N3551" t="s">
        <v>154</v>
      </c>
      <c r="O3551" s="64">
        <v>2600</v>
      </c>
      <c r="P3551" s="64">
        <v>0</v>
      </c>
      <c r="Q3551" s="64">
        <v>0</v>
      </c>
      <c r="R3551" s="64">
        <v>2600</v>
      </c>
      <c r="S3551" t="s">
        <v>155</v>
      </c>
    </row>
    <row r="3552" spans="1:19" x14ac:dyDescent="0.3">
      <c r="A3552" t="s">
        <v>5669</v>
      </c>
      <c r="B3552" t="s">
        <v>147</v>
      </c>
      <c r="C3552" t="s">
        <v>147</v>
      </c>
      <c r="D3552" t="s">
        <v>2023</v>
      </c>
      <c r="E3552" t="s">
        <v>72</v>
      </c>
      <c r="F3552" t="s">
        <v>17</v>
      </c>
      <c r="G3552" t="s">
        <v>158</v>
      </c>
      <c r="H3552" t="s">
        <v>159</v>
      </c>
      <c r="I3552" t="s">
        <v>151</v>
      </c>
      <c r="J3552" s="96">
        <v>46142</v>
      </c>
      <c r="K3552" s="6">
        <v>46142</v>
      </c>
      <c r="L3552" s="6" t="s">
        <v>4</v>
      </c>
      <c r="M3552" t="s">
        <v>153</v>
      </c>
      <c r="N3552" t="s">
        <v>154</v>
      </c>
      <c r="O3552" s="64">
        <v>200</v>
      </c>
      <c r="P3552" s="64">
        <v>0</v>
      </c>
      <c r="Q3552" s="64">
        <v>0</v>
      </c>
      <c r="R3552" s="64">
        <v>200</v>
      </c>
      <c r="S3552" t="s">
        <v>155</v>
      </c>
    </row>
    <row r="3553" spans="1:19" x14ac:dyDescent="0.3">
      <c r="A3553" t="s">
        <v>5670</v>
      </c>
      <c r="B3553" t="s">
        <v>147</v>
      </c>
      <c r="C3553" t="s">
        <v>147</v>
      </c>
      <c r="D3553" t="s">
        <v>1540</v>
      </c>
      <c r="E3553" t="s">
        <v>14</v>
      </c>
      <c r="F3553" t="s">
        <v>15</v>
      </c>
      <c r="G3553" t="s">
        <v>158</v>
      </c>
      <c r="H3553" t="s">
        <v>159</v>
      </c>
      <c r="I3553" t="s">
        <v>151</v>
      </c>
      <c r="J3553" s="96">
        <v>46142</v>
      </c>
      <c r="K3553" s="6">
        <v>46142</v>
      </c>
      <c r="L3553" s="6" t="s">
        <v>4</v>
      </c>
      <c r="M3553" t="s">
        <v>153</v>
      </c>
      <c r="N3553" t="s">
        <v>154</v>
      </c>
      <c r="O3553" s="64">
        <v>475</v>
      </c>
      <c r="P3553" s="64">
        <v>0</v>
      </c>
      <c r="Q3553" s="64">
        <v>0</v>
      </c>
      <c r="R3553" s="64">
        <v>475</v>
      </c>
      <c r="S3553" t="s">
        <v>155</v>
      </c>
    </row>
    <row r="3554" spans="1:19" x14ac:dyDescent="0.3">
      <c r="A3554" t="s">
        <v>5671</v>
      </c>
      <c r="B3554" t="s">
        <v>151</v>
      </c>
      <c r="C3554" t="s">
        <v>151</v>
      </c>
      <c r="D3554" t="s">
        <v>5345</v>
      </c>
      <c r="E3554" t="s">
        <v>30</v>
      </c>
      <c r="F3554" t="str">
        <f>VLOOKUP(Tabela1[[#This Row],[Plano de contas]],TIPO!A:B,2,0)</f>
        <v>OPERACIONAL</v>
      </c>
      <c r="G3554" t="s">
        <v>158</v>
      </c>
      <c r="H3554" t="s">
        <v>159</v>
      </c>
      <c r="J3554" s="63">
        <v>46143</v>
      </c>
      <c r="K3554" s="6">
        <v>46143</v>
      </c>
      <c r="L3554" s="6" t="s">
        <v>91</v>
      </c>
      <c r="O3554" s="1">
        <v>200</v>
      </c>
      <c r="P3554" s="1">
        <v>0</v>
      </c>
      <c r="Q3554" s="1">
        <v>0</v>
      </c>
      <c r="R3554" s="1" t="s">
        <v>151</v>
      </c>
      <c r="S3554" s="1" t="s">
        <v>155</v>
      </c>
    </row>
    <row r="3555" spans="1:19" x14ac:dyDescent="0.3">
      <c r="A3555" t="s">
        <v>5672</v>
      </c>
      <c r="B3555" t="s">
        <v>151</v>
      </c>
      <c r="C3555" t="s">
        <v>151</v>
      </c>
      <c r="D3555" t="s">
        <v>2399</v>
      </c>
      <c r="E3555" t="s">
        <v>44</v>
      </c>
      <c r="F3555" t="str">
        <f>VLOOKUP(Tabela1[[#This Row],[Plano de contas]],TIPO!A:B,2,0)</f>
        <v>DESPESA C/ PESSOAL</v>
      </c>
      <c r="G3555" t="s">
        <v>158</v>
      </c>
      <c r="H3555" t="s">
        <v>159</v>
      </c>
      <c r="J3555" s="63">
        <v>46146</v>
      </c>
      <c r="K3555" s="6">
        <v>46144</v>
      </c>
      <c r="L3555" s="6" t="s">
        <v>91</v>
      </c>
      <c r="O3555" s="1">
        <v>2300</v>
      </c>
      <c r="P3555" s="1">
        <v>0</v>
      </c>
      <c r="Q3555" s="1">
        <v>0</v>
      </c>
      <c r="R3555" s="1" t="s">
        <v>151</v>
      </c>
      <c r="S3555" s="1" t="s">
        <v>155</v>
      </c>
    </row>
    <row r="3556" spans="1:19" x14ac:dyDescent="0.3">
      <c r="A3556" t="s">
        <v>5673</v>
      </c>
      <c r="B3556" t="s">
        <v>151</v>
      </c>
      <c r="C3556" t="s">
        <v>151</v>
      </c>
      <c r="D3556" t="s">
        <v>2382</v>
      </c>
      <c r="E3556" t="s">
        <v>44</v>
      </c>
      <c r="F3556" t="str">
        <f>VLOOKUP(Tabela1[[#This Row],[Plano de contas]],TIPO!A:B,2,0)</f>
        <v>DESPESA C/ PESSOAL</v>
      </c>
      <c r="G3556" t="s">
        <v>158</v>
      </c>
      <c r="H3556" t="s">
        <v>159</v>
      </c>
      <c r="J3556" s="63">
        <v>46146</v>
      </c>
      <c r="K3556" s="6">
        <v>46145</v>
      </c>
      <c r="L3556" s="6" t="s">
        <v>91</v>
      </c>
      <c r="O3556" s="1">
        <v>5000</v>
      </c>
      <c r="P3556" s="1">
        <v>0</v>
      </c>
      <c r="Q3556" s="1">
        <v>0</v>
      </c>
      <c r="R3556" s="1" t="s">
        <v>151</v>
      </c>
      <c r="S3556" s="1" t="s">
        <v>155</v>
      </c>
    </row>
    <row r="3557" spans="1:19" x14ac:dyDescent="0.3">
      <c r="A3557" t="s">
        <v>5674</v>
      </c>
      <c r="B3557" t="s">
        <v>151</v>
      </c>
      <c r="C3557" t="s">
        <v>151</v>
      </c>
      <c r="D3557" t="s">
        <v>2341</v>
      </c>
      <c r="E3557" t="s">
        <v>44</v>
      </c>
      <c r="F3557" t="str">
        <f>VLOOKUP(Tabela1[[#This Row],[Plano de contas]],TIPO!A:B,2,0)</f>
        <v>DESPESA C/ PESSOAL</v>
      </c>
      <c r="G3557" t="s">
        <v>158</v>
      </c>
      <c r="H3557" t="s">
        <v>159</v>
      </c>
      <c r="J3557" s="63">
        <v>46146</v>
      </c>
      <c r="K3557" s="6">
        <v>46146</v>
      </c>
      <c r="L3557" s="6" t="s">
        <v>91</v>
      </c>
      <c r="O3557" s="1">
        <v>5000</v>
      </c>
      <c r="P3557" s="1">
        <v>0</v>
      </c>
      <c r="Q3557" s="1">
        <v>0</v>
      </c>
      <c r="R3557" s="1" t="s">
        <v>151</v>
      </c>
      <c r="S3557" s="1" t="s">
        <v>155</v>
      </c>
    </row>
    <row r="3558" spans="1:19" x14ac:dyDescent="0.3">
      <c r="A3558" t="s">
        <v>5675</v>
      </c>
      <c r="B3558" t="s">
        <v>151</v>
      </c>
      <c r="C3558" t="s">
        <v>151</v>
      </c>
      <c r="D3558" t="s">
        <v>2338</v>
      </c>
      <c r="E3558" t="s">
        <v>44</v>
      </c>
      <c r="F3558" t="str">
        <f>VLOOKUP(Tabela1[[#This Row],[Plano de contas]],TIPO!A:B,2,0)</f>
        <v>DESPESA C/ PESSOAL</v>
      </c>
      <c r="G3558" t="s">
        <v>158</v>
      </c>
      <c r="H3558" t="s">
        <v>159</v>
      </c>
      <c r="J3558" s="63">
        <v>46146</v>
      </c>
      <c r="K3558" s="6">
        <v>46147</v>
      </c>
      <c r="L3558" s="6" t="s">
        <v>91</v>
      </c>
      <c r="O3558" s="1">
        <v>5000</v>
      </c>
      <c r="P3558" s="1">
        <v>0</v>
      </c>
      <c r="Q3558" s="1">
        <v>0</v>
      </c>
      <c r="R3558" s="1" t="s">
        <v>151</v>
      </c>
      <c r="S3558" s="1" t="s">
        <v>155</v>
      </c>
    </row>
    <row r="3559" spans="1:19" x14ac:dyDescent="0.3">
      <c r="A3559" t="s">
        <v>5676</v>
      </c>
      <c r="B3559" t="s">
        <v>151</v>
      </c>
      <c r="C3559" t="s">
        <v>151</v>
      </c>
      <c r="D3559" t="s">
        <v>5677</v>
      </c>
      <c r="E3559" t="s">
        <v>44</v>
      </c>
      <c r="F3559" t="str">
        <f>VLOOKUP(Tabela1[[#This Row],[Plano de contas]],TIPO!A:B,2,0)</f>
        <v>DESPESA C/ PESSOAL</v>
      </c>
      <c r="G3559" t="s">
        <v>166</v>
      </c>
      <c r="H3559" t="s">
        <v>167</v>
      </c>
      <c r="J3559" s="63">
        <v>46146</v>
      </c>
      <c r="K3559" s="6">
        <v>46148</v>
      </c>
      <c r="L3559" s="6" t="s">
        <v>91</v>
      </c>
      <c r="O3559" s="1">
        <v>2000</v>
      </c>
      <c r="P3559" s="1">
        <v>0</v>
      </c>
      <c r="Q3559" s="1">
        <v>0</v>
      </c>
      <c r="R3559" s="1" t="s">
        <v>151</v>
      </c>
      <c r="S3559" s="1" t="s">
        <v>155</v>
      </c>
    </row>
    <row r="3560" spans="1:19" x14ac:dyDescent="0.3">
      <c r="A3560" t="s">
        <v>5678</v>
      </c>
      <c r="B3560" t="s">
        <v>151</v>
      </c>
      <c r="C3560" t="s">
        <v>151</v>
      </c>
      <c r="D3560" t="s">
        <v>5044</v>
      </c>
      <c r="E3560" t="s">
        <v>44</v>
      </c>
      <c r="F3560" t="str">
        <f>VLOOKUP(Tabela1[[#This Row],[Plano de contas]],TIPO!A:B,2,0)</f>
        <v>DESPESA C/ PESSOAL</v>
      </c>
      <c r="G3560" t="s">
        <v>166</v>
      </c>
      <c r="H3560" t="s">
        <v>167</v>
      </c>
      <c r="J3560" s="63">
        <v>46146</v>
      </c>
      <c r="K3560" s="6">
        <v>46149</v>
      </c>
      <c r="L3560" s="6" t="s">
        <v>91</v>
      </c>
      <c r="O3560" s="1">
        <v>2200</v>
      </c>
      <c r="P3560" s="1">
        <v>0</v>
      </c>
      <c r="Q3560" s="1">
        <v>0</v>
      </c>
      <c r="R3560" s="1" t="s">
        <v>151</v>
      </c>
      <c r="S3560" s="1" t="s">
        <v>155</v>
      </c>
    </row>
    <row r="3561" spans="1:19" x14ac:dyDescent="0.3">
      <c r="A3561" t="s">
        <v>5679</v>
      </c>
      <c r="B3561" t="s">
        <v>151</v>
      </c>
      <c r="C3561" t="s">
        <v>151</v>
      </c>
      <c r="D3561" t="s">
        <v>2023</v>
      </c>
      <c r="E3561" t="s">
        <v>72</v>
      </c>
      <c r="F3561" t="str">
        <f>VLOOKUP(Tabela1[[#This Row],[Plano de contas]],TIPO!A:B,2,0)</f>
        <v>OPERACIONAL</v>
      </c>
      <c r="G3561" t="s">
        <v>158</v>
      </c>
      <c r="H3561" t="s">
        <v>159</v>
      </c>
      <c r="J3561" s="63">
        <v>46146</v>
      </c>
      <c r="K3561" s="6">
        <v>46150</v>
      </c>
      <c r="L3561" s="6" t="s">
        <v>91</v>
      </c>
      <c r="O3561" s="1">
        <v>750</v>
      </c>
      <c r="P3561" s="1">
        <v>0</v>
      </c>
      <c r="Q3561" s="1">
        <v>0</v>
      </c>
      <c r="R3561" s="1" t="s">
        <v>151</v>
      </c>
      <c r="S3561" s="1" t="s">
        <v>155</v>
      </c>
    </row>
    <row r="3562" spans="1:19" x14ac:dyDescent="0.3">
      <c r="A3562" t="s">
        <v>5680</v>
      </c>
      <c r="B3562" t="s">
        <v>151</v>
      </c>
      <c r="C3562" t="s">
        <v>151</v>
      </c>
      <c r="D3562" t="s">
        <v>1363</v>
      </c>
      <c r="E3562" t="s">
        <v>41</v>
      </c>
      <c r="F3562" t="str">
        <f>VLOOKUP(Tabela1[[#This Row],[Plano de contas]],TIPO!A:B,2,0)</f>
        <v>OPERACIONAL</v>
      </c>
      <c r="G3562" t="s">
        <v>213</v>
      </c>
      <c r="H3562" t="s">
        <v>159</v>
      </c>
      <c r="J3562" s="63">
        <v>46146</v>
      </c>
      <c r="K3562" s="6">
        <v>46151</v>
      </c>
      <c r="L3562" s="6" t="s">
        <v>91</v>
      </c>
      <c r="O3562" s="1">
        <v>500</v>
      </c>
      <c r="P3562" s="1">
        <v>0</v>
      </c>
      <c r="Q3562" s="1">
        <v>0</v>
      </c>
      <c r="R3562" s="1" t="s">
        <v>151</v>
      </c>
      <c r="S3562" s="1" t="s">
        <v>155</v>
      </c>
    </row>
    <row r="3563" spans="1:19" x14ac:dyDescent="0.3">
      <c r="A3563" t="s">
        <v>5681</v>
      </c>
      <c r="B3563" t="s">
        <v>151</v>
      </c>
      <c r="C3563" t="s">
        <v>151</v>
      </c>
      <c r="D3563" t="s">
        <v>5682</v>
      </c>
      <c r="E3563" t="s">
        <v>44</v>
      </c>
      <c r="F3563" t="str">
        <f>VLOOKUP(Tabela1[[#This Row],[Plano de contas]],TIPO!A:B,2,0)</f>
        <v>DESPESA C/ PESSOAL</v>
      </c>
      <c r="G3563" t="s">
        <v>166</v>
      </c>
      <c r="H3563" t="s">
        <v>167</v>
      </c>
      <c r="J3563" s="63">
        <v>46146</v>
      </c>
      <c r="K3563" s="6">
        <v>46152</v>
      </c>
      <c r="L3563" s="6" t="s">
        <v>91</v>
      </c>
      <c r="O3563" s="1">
        <v>1756.66</v>
      </c>
      <c r="P3563" s="1">
        <v>0</v>
      </c>
      <c r="Q3563" s="1">
        <v>0</v>
      </c>
      <c r="R3563" s="1" t="s">
        <v>151</v>
      </c>
      <c r="S3563" s="1" t="s">
        <v>155</v>
      </c>
    </row>
    <row r="3564" spans="1:19" x14ac:dyDescent="0.3">
      <c r="A3564" t="s">
        <v>5683</v>
      </c>
      <c r="B3564" t="s">
        <v>151</v>
      </c>
      <c r="C3564" t="s">
        <v>151</v>
      </c>
      <c r="D3564" t="s">
        <v>5684</v>
      </c>
      <c r="E3564" t="s">
        <v>44</v>
      </c>
      <c r="F3564" t="str">
        <f>VLOOKUP(Tabela1[[#This Row],[Plano de contas]],TIPO!A:B,2,0)</f>
        <v>DESPESA C/ PESSOAL</v>
      </c>
      <c r="G3564" t="s">
        <v>166</v>
      </c>
      <c r="H3564" t="s">
        <v>167</v>
      </c>
      <c r="J3564" s="63">
        <v>46146</v>
      </c>
      <c r="K3564" s="6">
        <v>46153</v>
      </c>
      <c r="L3564" s="6" t="s">
        <v>91</v>
      </c>
      <c r="O3564" s="1">
        <v>970</v>
      </c>
      <c r="P3564" s="1">
        <v>0</v>
      </c>
      <c r="Q3564" s="1">
        <v>0</v>
      </c>
      <c r="R3564" s="1" t="s">
        <v>151</v>
      </c>
      <c r="S3564" s="1" t="s">
        <v>155</v>
      </c>
    </row>
    <row r="3565" spans="1:19" x14ac:dyDescent="0.3">
      <c r="A3565" t="s">
        <v>5685</v>
      </c>
      <c r="B3565" t="s">
        <v>151</v>
      </c>
      <c r="C3565" t="s">
        <v>151</v>
      </c>
      <c r="D3565" t="s">
        <v>5686</v>
      </c>
      <c r="E3565" t="s">
        <v>3665</v>
      </c>
      <c r="F3565" t="str">
        <f>VLOOKUP(Tabela1[[#This Row],[Plano de contas]],TIPO!A:B,2,0)</f>
        <v>FORNECEDOR</v>
      </c>
      <c r="G3565" t="s">
        <v>213</v>
      </c>
      <c r="H3565" t="s">
        <v>159</v>
      </c>
      <c r="J3565" s="63">
        <v>46146</v>
      </c>
      <c r="K3565" s="6">
        <v>46154</v>
      </c>
      <c r="L3565" s="6" t="s">
        <v>91</v>
      </c>
      <c r="O3565" s="1">
        <v>58423.22</v>
      </c>
      <c r="P3565" s="1">
        <v>0</v>
      </c>
      <c r="Q3565" s="1">
        <v>0</v>
      </c>
      <c r="R3565" s="1" t="s">
        <v>151</v>
      </c>
      <c r="S3565" s="1" t="s">
        <v>155</v>
      </c>
    </row>
    <row r="3566" spans="1:19" x14ac:dyDescent="0.3">
      <c r="A3566" t="s">
        <v>5687</v>
      </c>
      <c r="B3566" t="s">
        <v>151</v>
      </c>
      <c r="C3566" t="s">
        <v>151</v>
      </c>
      <c r="D3566" t="s">
        <v>5688</v>
      </c>
      <c r="E3566" t="s">
        <v>3665</v>
      </c>
      <c r="F3566" t="str">
        <f>VLOOKUP(Tabela1[[#This Row],[Plano de contas]],TIPO!A:B,2,0)</f>
        <v>FORNECEDOR</v>
      </c>
      <c r="G3566" t="s">
        <v>213</v>
      </c>
      <c r="H3566" t="s">
        <v>159</v>
      </c>
      <c r="J3566" s="63">
        <v>46146</v>
      </c>
      <c r="K3566" s="6">
        <v>46155</v>
      </c>
      <c r="L3566" s="6" t="s">
        <v>91</v>
      </c>
      <c r="O3566" s="1">
        <v>58423.22</v>
      </c>
      <c r="P3566" s="1">
        <v>0</v>
      </c>
      <c r="Q3566" s="1">
        <v>0</v>
      </c>
      <c r="R3566" s="1" t="s">
        <v>151</v>
      </c>
      <c r="S3566" s="1" t="s">
        <v>155</v>
      </c>
    </row>
    <row r="3567" spans="1:19" x14ac:dyDescent="0.3">
      <c r="A3567" t="s">
        <v>5689</v>
      </c>
      <c r="B3567" t="s">
        <v>151</v>
      </c>
      <c r="C3567" t="s">
        <v>151</v>
      </c>
      <c r="D3567" t="s">
        <v>5690</v>
      </c>
      <c r="E3567" t="s">
        <v>4241</v>
      </c>
      <c r="F3567" t="str">
        <f>VLOOKUP(Tabela1[[#This Row],[Plano de contas]],TIPO!A:B,2,0)</f>
        <v>FORNECEDOR</v>
      </c>
      <c r="G3567" t="s">
        <v>158</v>
      </c>
      <c r="H3567" t="s">
        <v>159</v>
      </c>
      <c r="J3567" s="63">
        <v>46146</v>
      </c>
      <c r="K3567" s="6">
        <v>46156</v>
      </c>
      <c r="L3567" s="6" t="s">
        <v>91</v>
      </c>
      <c r="O3567" s="1">
        <v>900</v>
      </c>
      <c r="P3567" s="1">
        <v>0</v>
      </c>
      <c r="Q3567" s="1">
        <v>0</v>
      </c>
      <c r="R3567" s="1" t="s">
        <v>151</v>
      </c>
      <c r="S3567" s="1" t="s">
        <v>155</v>
      </c>
    </row>
    <row r="3568" spans="1:19" x14ac:dyDescent="0.3">
      <c r="A3568" t="s">
        <v>5691</v>
      </c>
      <c r="B3568" t="s">
        <v>151</v>
      </c>
      <c r="C3568" t="s">
        <v>151</v>
      </c>
      <c r="D3568" t="s">
        <v>449</v>
      </c>
      <c r="E3568" t="s">
        <v>18</v>
      </c>
      <c r="F3568" t="str">
        <f>VLOOKUP(Tabela1[[#This Row],[Plano de contas]],TIPO!A:B,2,0)</f>
        <v>DESPESA C/ PESSOAL</v>
      </c>
      <c r="G3568" t="s">
        <v>158</v>
      </c>
      <c r="H3568" t="s">
        <v>159</v>
      </c>
      <c r="J3568" s="63">
        <v>46146</v>
      </c>
      <c r="K3568" s="6">
        <v>46157</v>
      </c>
      <c r="L3568" s="6" t="s">
        <v>91</v>
      </c>
      <c r="O3568" s="1">
        <v>164.93</v>
      </c>
      <c r="P3568" s="1">
        <v>0</v>
      </c>
      <c r="Q3568" s="1">
        <v>0</v>
      </c>
      <c r="R3568" s="1" t="s">
        <v>151</v>
      </c>
      <c r="S3568" s="1" t="s">
        <v>155</v>
      </c>
    </row>
    <row r="3569" spans="1:19" x14ac:dyDescent="0.3">
      <c r="A3569" t="s">
        <v>5692</v>
      </c>
      <c r="B3569" t="s">
        <v>151</v>
      </c>
      <c r="C3569" t="s">
        <v>151</v>
      </c>
      <c r="D3569" t="s">
        <v>5693</v>
      </c>
      <c r="E3569" t="s">
        <v>44</v>
      </c>
      <c r="F3569" t="str">
        <f>VLOOKUP(Tabela1[[#This Row],[Plano de contas]],TIPO!A:B,2,0)</f>
        <v>DESPESA C/ PESSOAL</v>
      </c>
      <c r="G3569" t="s">
        <v>158</v>
      </c>
      <c r="H3569" t="s">
        <v>159</v>
      </c>
      <c r="J3569" s="63">
        <v>46146</v>
      </c>
      <c r="K3569" s="6">
        <v>46158</v>
      </c>
      <c r="L3569" s="6" t="s">
        <v>91</v>
      </c>
      <c r="O3569" s="1">
        <v>500</v>
      </c>
      <c r="P3569" s="1">
        <v>0</v>
      </c>
      <c r="Q3569" s="1">
        <v>0</v>
      </c>
      <c r="R3569" s="1" t="s">
        <v>151</v>
      </c>
      <c r="S3569" s="1" t="s">
        <v>155</v>
      </c>
    </row>
    <row r="3570" spans="1:19" x14ac:dyDescent="0.3">
      <c r="A3570" t="s">
        <v>5694</v>
      </c>
      <c r="B3570" t="s">
        <v>151</v>
      </c>
      <c r="C3570" t="s">
        <v>151</v>
      </c>
      <c r="D3570" t="s">
        <v>4630</v>
      </c>
      <c r="E3570" t="s">
        <v>3559</v>
      </c>
      <c r="F3570" t="str">
        <f>VLOOKUP(Tabela1[[#This Row],[Plano de contas]],TIPO!A:B,2,0)</f>
        <v>OPERACIONAL</v>
      </c>
      <c r="G3570" t="s">
        <v>158</v>
      </c>
      <c r="H3570" t="s">
        <v>159</v>
      </c>
      <c r="J3570" s="63">
        <v>46146</v>
      </c>
      <c r="K3570" s="6">
        <v>46159</v>
      </c>
      <c r="L3570" s="6" t="s">
        <v>91</v>
      </c>
      <c r="O3570" s="1">
        <v>20</v>
      </c>
      <c r="P3570" s="1">
        <v>0</v>
      </c>
      <c r="Q3570" s="1">
        <v>0</v>
      </c>
      <c r="R3570" s="1" t="s">
        <v>151</v>
      </c>
      <c r="S3570" s="1" t="s">
        <v>155</v>
      </c>
    </row>
    <row r="3571" spans="1:19" x14ac:dyDescent="0.3">
      <c r="A3571" t="s">
        <v>5695</v>
      </c>
      <c r="B3571" t="s">
        <v>151</v>
      </c>
      <c r="C3571" t="s">
        <v>151</v>
      </c>
      <c r="D3571" t="s">
        <v>2573</v>
      </c>
      <c r="E3571" t="s">
        <v>39</v>
      </c>
      <c r="F3571" t="str">
        <f>VLOOKUP(Tabela1[[#This Row],[Plano de contas]],TIPO!A:B,2,0)</f>
        <v>FINANCEIRA</v>
      </c>
      <c r="G3571" t="s">
        <v>177</v>
      </c>
      <c r="H3571" t="s">
        <v>167</v>
      </c>
      <c r="J3571" s="63">
        <v>46146</v>
      </c>
      <c r="K3571" s="6">
        <v>46160</v>
      </c>
      <c r="L3571" s="6" t="s">
        <v>91</v>
      </c>
      <c r="O3571" s="1">
        <v>8.85</v>
      </c>
      <c r="P3571" s="1">
        <v>0</v>
      </c>
      <c r="Q3571" s="1">
        <v>0</v>
      </c>
      <c r="R3571" s="1" t="s">
        <v>151</v>
      </c>
      <c r="S3571" s="1" t="s">
        <v>155</v>
      </c>
    </row>
    <row r="3572" spans="1:19" x14ac:dyDescent="0.3">
      <c r="A3572" t="s">
        <v>5696</v>
      </c>
      <c r="B3572" t="s">
        <v>151</v>
      </c>
      <c r="C3572" t="s">
        <v>151</v>
      </c>
      <c r="D3572" t="s">
        <v>4630</v>
      </c>
      <c r="E3572" t="s">
        <v>3559</v>
      </c>
      <c r="F3572" t="str">
        <f>VLOOKUP(Tabela1[[#This Row],[Plano de contas]],TIPO!A:B,2,0)</f>
        <v>OPERACIONAL</v>
      </c>
      <c r="G3572" t="s">
        <v>158</v>
      </c>
      <c r="H3572" t="s">
        <v>159</v>
      </c>
      <c r="J3572" s="63">
        <v>46147</v>
      </c>
      <c r="K3572" s="6">
        <v>46161</v>
      </c>
      <c r="L3572" s="6" t="s">
        <v>91</v>
      </c>
      <c r="O3572" s="1">
        <v>50</v>
      </c>
      <c r="P3572" s="1">
        <v>0</v>
      </c>
      <c r="Q3572" s="1">
        <v>0</v>
      </c>
      <c r="R3572" s="1" t="s">
        <v>151</v>
      </c>
      <c r="S3572" s="1" t="s">
        <v>155</v>
      </c>
    </row>
    <row r="3573" spans="1:19" x14ac:dyDescent="0.3">
      <c r="A3573" t="s">
        <v>5697</v>
      </c>
      <c r="B3573" t="s">
        <v>151</v>
      </c>
      <c r="C3573" t="s">
        <v>151</v>
      </c>
      <c r="D3573" t="s">
        <v>5698</v>
      </c>
      <c r="E3573" t="s">
        <v>18</v>
      </c>
      <c r="F3573" t="str">
        <f>VLOOKUP(Tabela1[[#This Row],[Plano de contas]],TIPO!A:B,2,0)</f>
        <v>DESPESA C/ PESSOAL</v>
      </c>
      <c r="G3573" t="s">
        <v>181</v>
      </c>
      <c r="H3573" t="s">
        <v>182</v>
      </c>
      <c r="J3573" s="63">
        <v>46147</v>
      </c>
      <c r="K3573" s="6">
        <v>46162</v>
      </c>
      <c r="L3573" s="6" t="s">
        <v>91</v>
      </c>
      <c r="O3573" s="1">
        <v>19</v>
      </c>
      <c r="P3573" s="1">
        <v>0</v>
      </c>
      <c r="Q3573" s="1">
        <v>0</v>
      </c>
      <c r="R3573" s="1" t="s">
        <v>151</v>
      </c>
      <c r="S3573" s="1" t="s">
        <v>155</v>
      </c>
    </row>
    <row r="3574" spans="1:19" x14ac:dyDescent="0.3">
      <c r="A3574" t="s">
        <v>5699</v>
      </c>
      <c r="B3574" t="s">
        <v>151</v>
      </c>
      <c r="C3574" t="s">
        <v>151</v>
      </c>
      <c r="D3574" t="s">
        <v>5441</v>
      </c>
      <c r="E3574" t="s">
        <v>41</v>
      </c>
      <c r="F3574" t="str">
        <f>VLOOKUP(Tabela1[[#This Row],[Plano de contas]],TIPO!A:B,2,0)</f>
        <v>OPERACIONAL</v>
      </c>
      <c r="G3574" t="s">
        <v>213</v>
      </c>
      <c r="H3574" t="s">
        <v>159</v>
      </c>
      <c r="J3574" s="63">
        <v>46147</v>
      </c>
      <c r="K3574" s="6">
        <v>46163</v>
      </c>
      <c r="L3574" s="6" t="s">
        <v>91</v>
      </c>
      <c r="O3574" s="1">
        <v>500</v>
      </c>
      <c r="P3574" s="1">
        <v>0</v>
      </c>
      <c r="Q3574" s="1">
        <v>0</v>
      </c>
      <c r="R3574" s="1" t="s">
        <v>151</v>
      </c>
      <c r="S3574" s="1" t="s">
        <v>155</v>
      </c>
    </row>
    <row r="3575" spans="1:19" x14ac:dyDescent="0.3">
      <c r="A3575" t="s">
        <v>5700</v>
      </c>
      <c r="B3575" t="s">
        <v>151</v>
      </c>
      <c r="C3575" t="s">
        <v>151</v>
      </c>
      <c r="D3575" t="s">
        <v>5443</v>
      </c>
      <c r="E3575" t="s">
        <v>41</v>
      </c>
      <c r="F3575" t="str">
        <f>VLOOKUP(Tabela1[[#This Row],[Plano de contas]],TIPO!A:B,2,0)</f>
        <v>OPERACIONAL</v>
      </c>
      <c r="G3575" t="s">
        <v>213</v>
      </c>
      <c r="H3575" t="s">
        <v>4254</v>
      </c>
      <c r="J3575" s="63">
        <v>46147</v>
      </c>
      <c r="K3575" s="6">
        <v>46164</v>
      </c>
      <c r="L3575" s="6" t="s">
        <v>91</v>
      </c>
      <c r="O3575" s="1">
        <v>300</v>
      </c>
      <c r="P3575" s="1">
        <v>0</v>
      </c>
      <c r="Q3575" s="1">
        <v>0</v>
      </c>
      <c r="R3575" s="1" t="s">
        <v>151</v>
      </c>
      <c r="S3575" s="1" t="s">
        <v>155</v>
      </c>
    </row>
    <row r="3576" spans="1:19" x14ac:dyDescent="0.3">
      <c r="A3576" t="s">
        <v>5701</v>
      </c>
      <c r="B3576" t="s">
        <v>151</v>
      </c>
      <c r="C3576" t="s">
        <v>151</v>
      </c>
      <c r="D3576" t="s">
        <v>1278</v>
      </c>
      <c r="E3576" t="s">
        <v>31</v>
      </c>
      <c r="F3576" t="str">
        <f>VLOOKUP(Tabela1[[#This Row],[Plano de contas]],TIPO!A:B,2,0)</f>
        <v>FORNECEDOR</v>
      </c>
      <c r="G3576" t="s">
        <v>213</v>
      </c>
      <c r="H3576" t="s">
        <v>159</v>
      </c>
      <c r="J3576" s="63">
        <v>46147</v>
      </c>
      <c r="K3576" s="6">
        <v>46165</v>
      </c>
      <c r="L3576" s="6" t="s">
        <v>91</v>
      </c>
      <c r="O3576" s="1">
        <v>6694.3</v>
      </c>
      <c r="P3576" s="1">
        <v>0</v>
      </c>
      <c r="Q3576" s="1">
        <v>0</v>
      </c>
      <c r="R3576" s="1" t="s">
        <v>151</v>
      </c>
      <c r="S3576" s="1" t="s">
        <v>155</v>
      </c>
    </row>
    <row r="3577" spans="1:19" x14ac:dyDescent="0.3">
      <c r="A3577" t="s">
        <v>5702</v>
      </c>
      <c r="B3577" t="s">
        <v>151</v>
      </c>
      <c r="C3577" t="s">
        <v>151</v>
      </c>
      <c r="D3577" t="s">
        <v>5201</v>
      </c>
      <c r="E3577" t="s">
        <v>26</v>
      </c>
      <c r="F3577" t="str">
        <f>VLOOKUP(Tabela1[[#This Row],[Plano de contas]],TIPO!A:B,2,0)</f>
        <v>INVESTIMENTO</v>
      </c>
      <c r="G3577" t="s">
        <v>783</v>
      </c>
      <c r="H3577" t="s">
        <v>4254</v>
      </c>
      <c r="J3577" s="63">
        <v>46147</v>
      </c>
      <c r="K3577" s="6">
        <v>46166</v>
      </c>
      <c r="L3577" s="6" t="s">
        <v>91</v>
      </c>
      <c r="O3577" s="1">
        <v>60000</v>
      </c>
      <c r="P3577" s="1">
        <v>0</v>
      </c>
      <c r="Q3577" s="1">
        <v>0</v>
      </c>
      <c r="R3577" s="1" t="s">
        <v>151</v>
      </c>
      <c r="S3577" s="1" t="s">
        <v>155</v>
      </c>
    </row>
    <row r="3578" spans="1:19" x14ac:dyDescent="0.3">
      <c r="A3578" t="s">
        <v>5703</v>
      </c>
      <c r="B3578" t="s">
        <v>151</v>
      </c>
      <c r="C3578" t="s">
        <v>151</v>
      </c>
      <c r="D3578" t="s">
        <v>5704</v>
      </c>
      <c r="E3578" t="s">
        <v>31</v>
      </c>
      <c r="F3578" t="str">
        <f>VLOOKUP(Tabela1[[#This Row],[Plano de contas]],TIPO!A:B,2,0)</f>
        <v>FORNECEDOR</v>
      </c>
      <c r="G3578" t="s">
        <v>149</v>
      </c>
      <c r="H3578" t="s">
        <v>150</v>
      </c>
      <c r="J3578" s="63">
        <v>46147</v>
      </c>
      <c r="K3578" s="6">
        <v>46167</v>
      </c>
      <c r="L3578" s="6" t="s">
        <v>91</v>
      </c>
      <c r="O3578" s="1">
        <v>13400</v>
      </c>
      <c r="P3578" s="1">
        <v>0</v>
      </c>
      <c r="Q3578" s="1">
        <v>0</v>
      </c>
      <c r="R3578" s="1" t="s">
        <v>151</v>
      </c>
      <c r="S3578" s="1" t="s">
        <v>155</v>
      </c>
    </row>
    <row r="3579" spans="1:19" x14ac:dyDescent="0.3">
      <c r="A3579" t="s">
        <v>5705</v>
      </c>
      <c r="B3579" t="s">
        <v>151</v>
      </c>
      <c r="C3579" t="s">
        <v>151</v>
      </c>
      <c r="D3579" t="s">
        <v>5345</v>
      </c>
      <c r="E3579" t="s">
        <v>30</v>
      </c>
      <c r="F3579" t="str">
        <f>VLOOKUP(Tabela1[[#This Row],[Plano de contas]],TIPO!A:B,2,0)</f>
        <v>OPERACIONAL</v>
      </c>
      <c r="G3579" t="s">
        <v>158</v>
      </c>
      <c r="H3579" t="s">
        <v>159</v>
      </c>
      <c r="J3579" s="63">
        <v>46147</v>
      </c>
      <c r="K3579" s="6">
        <v>46168</v>
      </c>
      <c r="L3579" s="6" t="s">
        <v>91</v>
      </c>
      <c r="O3579" s="1">
        <v>100</v>
      </c>
      <c r="P3579" s="1">
        <v>0</v>
      </c>
      <c r="Q3579" s="1">
        <v>0</v>
      </c>
      <c r="R3579" s="1" t="s">
        <v>151</v>
      </c>
      <c r="S3579" s="1" t="s">
        <v>155</v>
      </c>
    </row>
    <row r="3580" spans="1:19" x14ac:dyDescent="0.3">
      <c r="A3580" t="s">
        <v>5706</v>
      </c>
      <c r="B3580" t="s">
        <v>151</v>
      </c>
      <c r="C3580" t="s">
        <v>151</v>
      </c>
      <c r="D3580" t="s">
        <v>2573</v>
      </c>
      <c r="E3580" t="s">
        <v>39</v>
      </c>
      <c r="F3580" t="str">
        <f>VLOOKUP(Tabela1[[#This Row],[Plano de contas]],TIPO!A:B,2,0)</f>
        <v>FINANCEIRA</v>
      </c>
      <c r="G3580" t="s">
        <v>177</v>
      </c>
      <c r="H3580" t="s">
        <v>167</v>
      </c>
      <c r="J3580" s="63">
        <v>46147</v>
      </c>
      <c r="K3580" s="6">
        <v>46169</v>
      </c>
      <c r="L3580" s="6" t="s">
        <v>91</v>
      </c>
      <c r="O3580" s="1">
        <v>3.54</v>
      </c>
      <c r="P3580" s="1">
        <v>0</v>
      </c>
      <c r="Q3580" s="1">
        <v>0</v>
      </c>
      <c r="R3580" s="1" t="s">
        <v>151</v>
      </c>
      <c r="S3580" s="1" t="s">
        <v>155</v>
      </c>
    </row>
    <row r="3581" spans="1:19" x14ac:dyDescent="0.3">
      <c r="A3581" t="s">
        <v>5707</v>
      </c>
      <c r="B3581" t="s">
        <v>151</v>
      </c>
      <c r="C3581" t="s">
        <v>151</v>
      </c>
      <c r="D3581" t="s">
        <v>675</v>
      </c>
      <c r="E3581" t="s">
        <v>18</v>
      </c>
      <c r="F3581" t="str">
        <f>VLOOKUP(Tabela1[[#This Row],[Plano de contas]],TIPO!A:B,2,0)</f>
        <v>DESPESA C/ PESSOAL</v>
      </c>
      <c r="G3581" t="s">
        <v>158</v>
      </c>
      <c r="H3581" t="s">
        <v>159</v>
      </c>
      <c r="J3581" s="63">
        <v>46148</v>
      </c>
      <c r="K3581" s="6">
        <v>46170</v>
      </c>
      <c r="L3581" s="6" t="s">
        <v>91</v>
      </c>
      <c r="O3581" s="1">
        <v>71.97</v>
      </c>
      <c r="P3581" s="1">
        <v>0</v>
      </c>
      <c r="Q3581" s="1">
        <v>0</v>
      </c>
      <c r="R3581" s="1" t="s">
        <v>151</v>
      </c>
      <c r="S3581" s="1" t="s">
        <v>155</v>
      </c>
    </row>
    <row r="3582" spans="1:19" x14ac:dyDescent="0.3">
      <c r="A3582" t="s">
        <v>5708</v>
      </c>
      <c r="B3582" t="s">
        <v>151</v>
      </c>
      <c r="C3582" t="s">
        <v>151</v>
      </c>
      <c r="D3582" t="s">
        <v>5709</v>
      </c>
      <c r="E3582" t="s">
        <v>73</v>
      </c>
      <c r="F3582" t="str">
        <f>VLOOKUP(Tabela1[[#This Row],[Plano de contas]],TIPO!A:B,2,0)</f>
        <v>OPERACIONAL</v>
      </c>
      <c r="G3582" t="s">
        <v>158</v>
      </c>
      <c r="H3582" t="s">
        <v>159</v>
      </c>
      <c r="J3582" s="63">
        <v>46148</v>
      </c>
      <c r="K3582" s="6">
        <v>46171</v>
      </c>
      <c r="L3582" s="6" t="s">
        <v>91</v>
      </c>
      <c r="O3582" s="1">
        <v>90</v>
      </c>
      <c r="P3582" s="1">
        <v>0</v>
      </c>
      <c r="Q3582" s="1">
        <v>0</v>
      </c>
      <c r="R3582" s="1" t="s">
        <v>151</v>
      </c>
      <c r="S3582" s="1" t="s">
        <v>155</v>
      </c>
    </row>
    <row r="3583" spans="1:19" x14ac:dyDescent="0.3">
      <c r="A3583" t="s">
        <v>5710</v>
      </c>
      <c r="B3583" t="s">
        <v>151</v>
      </c>
      <c r="C3583" t="s">
        <v>151</v>
      </c>
      <c r="D3583" t="s">
        <v>2760</v>
      </c>
      <c r="E3583" t="s">
        <v>46</v>
      </c>
      <c r="F3583" t="str">
        <f>VLOOKUP(Tabela1[[#This Row],[Plano de contas]],TIPO!A:B,2,0)</f>
        <v>FINANCEIRA</v>
      </c>
      <c r="G3583" t="s">
        <v>177</v>
      </c>
      <c r="H3583" t="s">
        <v>167</v>
      </c>
      <c r="J3583" s="63">
        <v>46148</v>
      </c>
      <c r="K3583" s="6">
        <v>46172</v>
      </c>
      <c r="L3583" s="6" t="s">
        <v>91</v>
      </c>
      <c r="O3583" s="1">
        <v>6.26</v>
      </c>
      <c r="P3583" s="1">
        <v>0</v>
      </c>
      <c r="Q3583" s="1">
        <v>0</v>
      </c>
      <c r="R3583" s="1" t="s">
        <v>151</v>
      </c>
      <c r="S3583" s="1" t="s">
        <v>155</v>
      </c>
    </row>
    <row r="3584" spans="1:19" x14ac:dyDescent="0.3">
      <c r="A3584" t="s">
        <v>5711</v>
      </c>
      <c r="B3584" t="s">
        <v>151</v>
      </c>
      <c r="C3584" t="s">
        <v>151</v>
      </c>
      <c r="D3584" t="s">
        <v>5712</v>
      </c>
      <c r="E3584" t="s">
        <v>73</v>
      </c>
      <c r="F3584" t="str">
        <f>VLOOKUP(Tabela1[[#This Row],[Plano de contas]],TIPO!A:B,2,0)</f>
        <v>OPERACIONAL</v>
      </c>
      <c r="G3584" t="s">
        <v>158</v>
      </c>
      <c r="H3584" t="s">
        <v>159</v>
      </c>
      <c r="J3584" s="63">
        <v>46149</v>
      </c>
      <c r="K3584" s="6">
        <v>46173</v>
      </c>
      <c r="L3584" s="6" t="s">
        <v>91</v>
      </c>
      <c r="O3584" s="1">
        <v>375</v>
      </c>
      <c r="P3584" s="1">
        <v>0</v>
      </c>
      <c r="Q3584" s="1">
        <v>0</v>
      </c>
      <c r="R3584" s="1" t="s">
        <v>151</v>
      </c>
      <c r="S3584" s="1" t="s">
        <v>155</v>
      </c>
    </row>
    <row r="3585" spans="1:19" x14ac:dyDescent="0.3">
      <c r="A3585" t="s">
        <v>5713</v>
      </c>
      <c r="B3585" t="s">
        <v>151</v>
      </c>
      <c r="C3585" t="s">
        <v>151</v>
      </c>
      <c r="D3585" t="s">
        <v>5714</v>
      </c>
      <c r="E3585" t="s">
        <v>3607</v>
      </c>
      <c r="F3585" t="str">
        <f>VLOOKUP(Tabela1[[#This Row],[Plano de contas]],TIPO!A:B,2,0)</f>
        <v>DESPESA C/ PESSOAL</v>
      </c>
      <c r="G3585" t="s">
        <v>158</v>
      </c>
      <c r="H3585" t="s">
        <v>159</v>
      </c>
      <c r="J3585" s="63">
        <v>46149</v>
      </c>
      <c r="K3585" s="6">
        <v>46174</v>
      </c>
      <c r="L3585" s="6" t="s">
        <v>91</v>
      </c>
      <c r="O3585" s="1">
        <v>250</v>
      </c>
      <c r="P3585" s="1">
        <v>0</v>
      </c>
      <c r="Q3585" s="1">
        <v>0</v>
      </c>
      <c r="R3585" s="1" t="s">
        <v>151</v>
      </c>
      <c r="S3585" s="1" t="s">
        <v>155</v>
      </c>
    </row>
    <row r="3586" spans="1:19" x14ac:dyDescent="0.3">
      <c r="A3586" t="s">
        <v>5715</v>
      </c>
      <c r="B3586" t="s">
        <v>151</v>
      </c>
      <c r="C3586" t="s">
        <v>151</v>
      </c>
      <c r="D3586" t="s">
        <v>5716</v>
      </c>
      <c r="E3586" t="s">
        <v>49</v>
      </c>
      <c r="F3586" t="str">
        <f>VLOOKUP(Tabela1[[#This Row],[Plano de contas]],TIPO!A:B,2,0)</f>
        <v>DESPESA C/ PESSOAL</v>
      </c>
      <c r="G3586" t="s">
        <v>158</v>
      </c>
      <c r="H3586" t="s">
        <v>159</v>
      </c>
      <c r="J3586" s="63">
        <v>46149</v>
      </c>
      <c r="K3586" s="6">
        <v>46175</v>
      </c>
      <c r="L3586" s="6" t="s">
        <v>91</v>
      </c>
      <c r="O3586" s="1">
        <v>162</v>
      </c>
      <c r="P3586" s="1">
        <v>0</v>
      </c>
      <c r="Q3586" s="1">
        <v>0</v>
      </c>
      <c r="R3586" s="1" t="s">
        <v>151</v>
      </c>
      <c r="S3586" s="1" t="s">
        <v>155</v>
      </c>
    </row>
    <row r="3587" spans="1:19" x14ac:dyDescent="0.3">
      <c r="A3587" t="s">
        <v>5717</v>
      </c>
      <c r="B3587" t="s">
        <v>151</v>
      </c>
      <c r="C3587" t="s">
        <v>151</v>
      </c>
      <c r="D3587" t="s">
        <v>5718</v>
      </c>
      <c r="E3587" t="s">
        <v>3665</v>
      </c>
      <c r="F3587" t="str">
        <f>VLOOKUP(Tabela1[[#This Row],[Plano de contas]],TIPO!A:B,2,0)</f>
        <v>FORNECEDOR</v>
      </c>
      <c r="G3587" t="s">
        <v>213</v>
      </c>
      <c r="H3587" t="s">
        <v>159</v>
      </c>
      <c r="J3587" s="63">
        <v>46149</v>
      </c>
      <c r="K3587" s="6">
        <v>46176</v>
      </c>
      <c r="L3587" s="6" t="s">
        <v>91</v>
      </c>
      <c r="O3587" s="1">
        <v>90979.62</v>
      </c>
      <c r="P3587" s="1">
        <v>0</v>
      </c>
      <c r="Q3587" s="1">
        <v>0</v>
      </c>
      <c r="R3587" s="1" t="s">
        <v>151</v>
      </c>
      <c r="S3587" s="1" t="s">
        <v>155</v>
      </c>
    </row>
    <row r="3588" spans="1:19" x14ac:dyDescent="0.3">
      <c r="A3588" t="s">
        <v>5719</v>
      </c>
      <c r="B3588" t="s">
        <v>151</v>
      </c>
      <c r="C3588" t="s">
        <v>151</v>
      </c>
      <c r="D3588" t="s">
        <v>5720</v>
      </c>
      <c r="E3588" t="s">
        <v>39</v>
      </c>
      <c r="F3588" t="str">
        <f>VLOOKUP(Tabela1[[#This Row],[Plano de contas]],TIPO!A:B,2,0)</f>
        <v>FINANCEIRA</v>
      </c>
      <c r="G3588" t="s">
        <v>177</v>
      </c>
      <c r="H3588" t="s">
        <v>159</v>
      </c>
      <c r="J3588" s="63">
        <v>46149</v>
      </c>
      <c r="K3588" s="6">
        <v>46177</v>
      </c>
      <c r="L3588" s="6" t="s">
        <v>91</v>
      </c>
      <c r="O3588" s="1">
        <v>1.77</v>
      </c>
      <c r="P3588" s="1">
        <v>0</v>
      </c>
      <c r="Q3588" s="1">
        <v>0</v>
      </c>
      <c r="R3588" s="1" t="s">
        <v>151</v>
      </c>
      <c r="S3588" s="1" t="s">
        <v>155</v>
      </c>
    </row>
    <row r="3589" spans="1:19" x14ac:dyDescent="0.3">
      <c r="A3589" t="s">
        <v>5721</v>
      </c>
      <c r="B3589" t="s">
        <v>151</v>
      </c>
      <c r="C3589" t="s">
        <v>151</v>
      </c>
      <c r="D3589" t="s">
        <v>3594</v>
      </c>
      <c r="E3589" t="s">
        <v>87</v>
      </c>
      <c r="F3589" t="str">
        <f>VLOOKUP(Tabela1[[#This Row],[Plano de contas]],TIPO!A:B,2,0)</f>
        <v>OPERACIONAL</v>
      </c>
      <c r="G3589" t="s">
        <v>158</v>
      </c>
      <c r="H3589" t="s">
        <v>159</v>
      </c>
      <c r="J3589" s="63">
        <v>46150</v>
      </c>
      <c r="K3589" s="6">
        <v>46178</v>
      </c>
      <c r="L3589" s="6" t="s">
        <v>91</v>
      </c>
      <c r="O3589" s="1">
        <v>15.93</v>
      </c>
      <c r="P3589" s="1">
        <v>0</v>
      </c>
      <c r="Q3589" s="1">
        <v>0</v>
      </c>
      <c r="R3589" s="1" t="s">
        <v>151</v>
      </c>
      <c r="S3589" s="1" t="s">
        <v>155</v>
      </c>
    </row>
    <row r="3590" spans="1:19" x14ac:dyDescent="0.3">
      <c r="A3590" t="s">
        <v>5722</v>
      </c>
      <c r="B3590" t="s">
        <v>151</v>
      </c>
      <c r="C3590" t="s">
        <v>151</v>
      </c>
      <c r="D3590" t="s">
        <v>5723</v>
      </c>
      <c r="E3590" t="s">
        <v>77</v>
      </c>
      <c r="F3590" t="str">
        <f>VLOOKUP(Tabela1[[#This Row],[Plano de contas]],TIPO!A:B,2,0)</f>
        <v>OPERACIONAL</v>
      </c>
      <c r="G3590" t="s">
        <v>158</v>
      </c>
      <c r="H3590" t="s">
        <v>159</v>
      </c>
      <c r="J3590" s="63">
        <v>46150</v>
      </c>
      <c r="K3590" s="6">
        <v>46179</v>
      </c>
      <c r="L3590" s="6" t="s">
        <v>91</v>
      </c>
      <c r="O3590" s="1">
        <v>180</v>
      </c>
      <c r="P3590" s="1">
        <v>0</v>
      </c>
      <c r="Q3590" s="1">
        <v>0</v>
      </c>
      <c r="R3590" s="1" t="s">
        <v>151</v>
      </c>
      <c r="S3590" s="1" t="s">
        <v>155</v>
      </c>
    </row>
    <row r="3591" spans="1:19" x14ac:dyDescent="0.3">
      <c r="A3591" t="s">
        <v>5724</v>
      </c>
      <c r="B3591" t="s">
        <v>151</v>
      </c>
      <c r="C3591" t="s">
        <v>151</v>
      </c>
      <c r="D3591" t="s">
        <v>449</v>
      </c>
      <c r="E3591" t="s">
        <v>18</v>
      </c>
      <c r="F3591" t="str">
        <f>VLOOKUP(Tabela1[[#This Row],[Plano de contas]],TIPO!A:B,2,0)</f>
        <v>DESPESA C/ PESSOAL</v>
      </c>
      <c r="G3591" t="s">
        <v>158</v>
      </c>
      <c r="H3591" t="s">
        <v>159</v>
      </c>
      <c r="J3591" s="63">
        <v>46150</v>
      </c>
      <c r="K3591" s="6">
        <v>46180</v>
      </c>
      <c r="L3591" s="6" t="s">
        <v>91</v>
      </c>
      <c r="O3591" s="1">
        <v>42.97</v>
      </c>
      <c r="P3591" s="1">
        <v>0</v>
      </c>
      <c r="Q3591" s="1">
        <v>0</v>
      </c>
      <c r="R3591" s="1" t="s">
        <v>151</v>
      </c>
      <c r="S3591" s="1" t="s">
        <v>155</v>
      </c>
    </row>
    <row r="3592" spans="1:19" x14ac:dyDescent="0.3">
      <c r="A3592" t="s">
        <v>5725</v>
      </c>
      <c r="B3592" t="s">
        <v>151</v>
      </c>
      <c r="C3592" t="s">
        <v>151</v>
      </c>
      <c r="D3592" t="s">
        <v>935</v>
      </c>
      <c r="E3592" t="s">
        <v>30</v>
      </c>
      <c r="F3592" t="str">
        <f>VLOOKUP(Tabela1[[#This Row],[Plano de contas]],TIPO!A:B,2,0)</f>
        <v>OPERACIONAL</v>
      </c>
      <c r="G3592" t="s">
        <v>158</v>
      </c>
      <c r="H3592" t="s">
        <v>159</v>
      </c>
      <c r="J3592" s="63">
        <v>46150</v>
      </c>
      <c r="K3592" s="6">
        <v>46181</v>
      </c>
      <c r="L3592" s="6" t="s">
        <v>91</v>
      </c>
      <c r="O3592" s="1">
        <v>100</v>
      </c>
      <c r="P3592" s="1">
        <v>0</v>
      </c>
      <c r="Q3592" s="1">
        <v>0</v>
      </c>
      <c r="R3592" s="1" t="s">
        <v>151</v>
      </c>
      <c r="S3592" s="1" t="s">
        <v>155</v>
      </c>
    </row>
    <row r="3593" spans="1:19" x14ac:dyDescent="0.3">
      <c r="A3593" t="s">
        <v>5726</v>
      </c>
      <c r="B3593" t="s">
        <v>151</v>
      </c>
      <c r="C3593" t="s">
        <v>151</v>
      </c>
      <c r="D3593" t="s">
        <v>449</v>
      </c>
      <c r="E3593" t="s">
        <v>18</v>
      </c>
      <c r="F3593" t="str">
        <f>VLOOKUP(Tabela1[[#This Row],[Plano de contas]],TIPO!A:B,2,0)</f>
        <v>DESPESA C/ PESSOAL</v>
      </c>
      <c r="G3593" t="s">
        <v>158</v>
      </c>
      <c r="H3593" t="s">
        <v>159</v>
      </c>
      <c r="J3593" s="63">
        <v>46150</v>
      </c>
      <c r="K3593" s="6">
        <v>46182</v>
      </c>
      <c r="L3593" s="6" t="s">
        <v>91</v>
      </c>
      <c r="O3593" s="1">
        <v>39.99</v>
      </c>
      <c r="P3593" s="1">
        <v>0</v>
      </c>
      <c r="Q3593" s="1">
        <v>0</v>
      </c>
      <c r="R3593" s="1" t="s">
        <v>151</v>
      </c>
      <c r="S3593" s="1" t="s">
        <v>155</v>
      </c>
    </row>
    <row r="3594" spans="1:19" x14ac:dyDescent="0.3">
      <c r="A3594" t="s">
        <v>5727</v>
      </c>
      <c r="B3594" t="s">
        <v>151</v>
      </c>
      <c r="C3594" t="s">
        <v>151</v>
      </c>
      <c r="D3594" t="s">
        <v>4630</v>
      </c>
      <c r="E3594" t="s">
        <v>3559</v>
      </c>
      <c r="F3594" t="str">
        <f>VLOOKUP(Tabela1[[#This Row],[Plano de contas]],TIPO!A:B,2,0)</f>
        <v>OPERACIONAL</v>
      </c>
      <c r="G3594" t="s">
        <v>158</v>
      </c>
      <c r="H3594" t="s">
        <v>159</v>
      </c>
      <c r="J3594" s="63">
        <v>46150</v>
      </c>
      <c r="K3594" s="6">
        <v>46183</v>
      </c>
      <c r="L3594" s="6" t="s">
        <v>91</v>
      </c>
      <c r="O3594" s="1">
        <v>70</v>
      </c>
      <c r="P3594" s="1">
        <v>0</v>
      </c>
      <c r="Q3594" s="1">
        <v>0</v>
      </c>
      <c r="R3594" s="1" t="s">
        <v>151</v>
      </c>
      <c r="S3594" s="1" t="s">
        <v>155</v>
      </c>
    </row>
    <row r="3595" spans="1:19" x14ac:dyDescent="0.3">
      <c r="A3595" t="s">
        <v>5728</v>
      </c>
      <c r="B3595" t="s">
        <v>151</v>
      </c>
      <c r="C3595" t="s">
        <v>151</v>
      </c>
      <c r="D3595" t="s">
        <v>2573</v>
      </c>
      <c r="E3595" t="s">
        <v>39</v>
      </c>
      <c r="F3595" t="str">
        <f>VLOOKUP(Tabela1[[#This Row],[Plano de contas]],TIPO!A:B,2,0)</f>
        <v>FINANCEIRA</v>
      </c>
      <c r="G3595" t="s">
        <v>177</v>
      </c>
      <c r="H3595" t="s">
        <v>159</v>
      </c>
      <c r="J3595" s="63">
        <v>46150</v>
      </c>
      <c r="K3595" s="6">
        <v>46184</v>
      </c>
      <c r="L3595" s="6" t="s">
        <v>91</v>
      </c>
      <c r="O3595" s="1">
        <v>5.31</v>
      </c>
      <c r="P3595" s="1">
        <v>0</v>
      </c>
      <c r="Q3595" s="1">
        <v>0</v>
      </c>
      <c r="R3595" s="1" t="s">
        <v>151</v>
      </c>
      <c r="S3595" s="1" t="s">
        <v>155</v>
      </c>
    </row>
    <row r="3596" spans="1:19" x14ac:dyDescent="0.3">
      <c r="A3596" t="s">
        <v>5729</v>
      </c>
      <c r="B3596" t="s">
        <v>151</v>
      </c>
      <c r="C3596" t="s">
        <v>151</v>
      </c>
      <c r="D3596" t="s">
        <v>4465</v>
      </c>
      <c r="E3596" t="s">
        <v>48</v>
      </c>
      <c r="F3596" t="str">
        <f>VLOOKUP(Tabela1[[#This Row],[Plano de contas]],TIPO!A:B,2,0)</f>
        <v>OPERACIONAL</v>
      </c>
      <c r="G3596" t="s">
        <v>213</v>
      </c>
      <c r="H3596" t="s">
        <v>159</v>
      </c>
      <c r="J3596" s="63">
        <v>46150</v>
      </c>
      <c r="K3596" s="6">
        <v>46185</v>
      </c>
      <c r="L3596" s="6" t="s">
        <v>91</v>
      </c>
      <c r="O3596" s="1">
        <v>199</v>
      </c>
      <c r="P3596" s="1">
        <v>0</v>
      </c>
      <c r="Q3596" s="1">
        <v>0</v>
      </c>
      <c r="R3596" s="1" t="s">
        <v>151</v>
      </c>
      <c r="S3596" s="1" t="s">
        <v>155</v>
      </c>
    </row>
    <row r="3597" spans="1:19" x14ac:dyDescent="0.3">
      <c r="A3597" t="s">
        <v>5730</v>
      </c>
      <c r="B3597" t="s">
        <v>151</v>
      </c>
      <c r="C3597" t="s">
        <v>151</v>
      </c>
      <c r="D3597" t="s">
        <v>5731</v>
      </c>
      <c r="E3597" t="s">
        <v>85</v>
      </c>
      <c r="F3597" t="str">
        <f>VLOOKUP(Tabela1[[#This Row],[Plano de contas]],TIPO!A:B,2,0)</f>
        <v>OPERACIONAL</v>
      </c>
      <c r="G3597" t="s">
        <v>158</v>
      </c>
      <c r="H3597" t="s">
        <v>159</v>
      </c>
      <c r="J3597" s="63">
        <v>46150</v>
      </c>
      <c r="K3597" s="6">
        <v>46186</v>
      </c>
      <c r="L3597" s="6" t="s">
        <v>91</v>
      </c>
      <c r="O3597" s="1">
        <v>1050.74</v>
      </c>
      <c r="P3597" s="1">
        <v>0</v>
      </c>
      <c r="Q3597" s="1">
        <v>0</v>
      </c>
      <c r="R3597" s="1" t="s">
        <v>151</v>
      </c>
      <c r="S3597" s="1" t="s">
        <v>155</v>
      </c>
    </row>
    <row r="3598" spans="1:19" x14ac:dyDescent="0.3">
      <c r="A3598" t="s">
        <v>5732</v>
      </c>
      <c r="B3598" t="s">
        <v>151</v>
      </c>
      <c r="C3598" t="s">
        <v>151</v>
      </c>
      <c r="D3598" t="s">
        <v>2760</v>
      </c>
      <c r="E3598" t="s">
        <v>14</v>
      </c>
      <c r="F3598" t="str">
        <f>VLOOKUP(Tabela1[[#This Row],[Plano de contas]],TIPO!A:B,2,0)</f>
        <v>AJUSTE DE CAIXA</v>
      </c>
      <c r="G3598" t="s">
        <v>177</v>
      </c>
      <c r="H3598" t="s">
        <v>159</v>
      </c>
      <c r="J3598" s="63">
        <v>46150</v>
      </c>
      <c r="K3598" s="6">
        <v>46187</v>
      </c>
      <c r="L3598" s="6" t="s">
        <v>91</v>
      </c>
      <c r="O3598" s="1">
        <v>3.13</v>
      </c>
      <c r="P3598" s="1">
        <v>0</v>
      </c>
      <c r="Q3598" s="1">
        <v>0</v>
      </c>
      <c r="R3598" s="1" t="s">
        <v>151</v>
      </c>
      <c r="S3598" s="1" t="s">
        <v>155</v>
      </c>
    </row>
    <row r="3599" spans="1:19" x14ac:dyDescent="0.3">
      <c r="A3599" t="s">
        <v>5733</v>
      </c>
      <c r="B3599" t="s">
        <v>151</v>
      </c>
      <c r="C3599" t="s">
        <v>151</v>
      </c>
      <c r="D3599" t="s">
        <v>5734</v>
      </c>
      <c r="E3599" t="s">
        <v>66</v>
      </c>
      <c r="F3599" t="str">
        <f>VLOOKUP(Tabela1[[#This Row],[Plano de contas]],TIPO!A:B,2,0)</f>
        <v>OPERACIONAL</v>
      </c>
      <c r="G3599" t="s">
        <v>523</v>
      </c>
      <c r="H3599" t="s">
        <v>167</v>
      </c>
      <c r="J3599" s="63">
        <v>46152</v>
      </c>
      <c r="K3599" s="6">
        <v>46188</v>
      </c>
      <c r="L3599" s="6" t="s">
        <v>91</v>
      </c>
      <c r="O3599" s="1">
        <v>392.5</v>
      </c>
      <c r="P3599" s="1">
        <v>0</v>
      </c>
      <c r="Q3599" s="1">
        <v>0</v>
      </c>
      <c r="R3599" s="1" t="s">
        <v>151</v>
      </c>
      <c r="S3599" s="1" t="s">
        <v>155</v>
      </c>
    </row>
    <row r="3600" spans="1:19" x14ac:dyDescent="0.3">
      <c r="A3600" t="s">
        <v>5735</v>
      </c>
      <c r="B3600" t="s">
        <v>151</v>
      </c>
      <c r="C3600" t="s">
        <v>151</v>
      </c>
      <c r="D3600" t="s">
        <v>1154</v>
      </c>
      <c r="E3600" t="s">
        <v>30</v>
      </c>
      <c r="F3600" t="str">
        <f>VLOOKUP(Tabela1[[#This Row],[Plano de contas]],TIPO!A:B,2,0)</f>
        <v>OPERACIONAL</v>
      </c>
      <c r="G3600" t="s">
        <v>523</v>
      </c>
      <c r="H3600" t="s">
        <v>167</v>
      </c>
      <c r="J3600" s="63">
        <v>46152</v>
      </c>
      <c r="K3600" s="6">
        <v>46189</v>
      </c>
      <c r="L3600" s="6" t="s">
        <v>91</v>
      </c>
      <c r="O3600" s="1">
        <v>400.04</v>
      </c>
      <c r="P3600" s="1">
        <v>0</v>
      </c>
      <c r="Q3600" s="1">
        <v>0</v>
      </c>
      <c r="R3600" s="1" t="s">
        <v>151</v>
      </c>
      <c r="S3600" s="1" t="s">
        <v>155</v>
      </c>
    </row>
    <row r="3601" spans="1:19" x14ac:dyDescent="0.3">
      <c r="A3601" t="s">
        <v>5736</v>
      </c>
      <c r="B3601" t="s">
        <v>151</v>
      </c>
      <c r="C3601" t="s">
        <v>151</v>
      </c>
      <c r="D3601" t="s">
        <v>1154</v>
      </c>
      <c r="E3601" t="s">
        <v>30</v>
      </c>
      <c r="F3601" t="str">
        <f>VLOOKUP(Tabela1[[#This Row],[Plano de contas]],TIPO!A:B,2,0)</f>
        <v>OPERACIONAL</v>
      </c>
      <c r="G3601" t="s">
        <v>523</v>
      </c>
      <c r="H3601" t="s">
        <v>167</v>
      </c>
      <c r="J3601" s="63">
        <v>46152</v>
      </c>
      <c r="K3601" s="6">
        <v>46190</v>
      </c>
      <c r="L3601" s="6" t="s">
        <v>91</v>
      </c>
      <c r="O3601" s="1">
        <v>282.05</v>
      </c>
      <c r="P3601" s="1">
        <v>0</v>
      </c>
      <c r="Q3601" s="1">
        <v>0</v>
      </c>
      <c r="R3601" s="1" t="s">
        <v>151</v>
      </c>
      <c r="S3601" s="1" t="s">
        <v>155</v>
      </c>
    </row>
    <row r="3602" spans="1:19" x14ac:dyDescent="0.3">
      <c r="A3602" t="s">
        <v>5737</v>
      </c>
      <c r="B3602" t="s">
        <v>151</v>
      </c>
      <c r="C3602" t="s">
        <v>151</v>
      </c>
      <c r="D3602" t="s">
        <v>5738</v>
      </c>
      <c r="E3602" t="s">
        <v>101</v>
      </c>
      <c r="F3602" t="str">
        <f>VLOOKUP(Tabela1[[#This Row],[Plano de contas]],TIPO!A:B,2,0)</f>
        <v>OPERACIONAL</v>
      </c>
      <c r="G3602" t="s">
        <v>523</v>
      </c>
      <c r="H3602" t="s">
        <v>167</v>
      </c>
      <c r="J3602" s="63">
        <v>46152</v>
      </c>
      <c r="K3602" s="6">
        <v>46191</v>
      </c>
      <c r="L3602" s="6" t="s">
        <v>91</v>
      </c>
      <c r="O3602" s="1">
        <v>949.5</v>
      </c>
      <c r="P3602" s="1">
        <v>0</v>
      </c>
      <c r="Q3602" s="1">
        <v>0</v>
      </c>
      <c r="R3602" s="1" t="s">
        <v>151</v>
      </c>
      <c r="S3602" s="1" t="s">
        <v>155</v>
      </c>
    </row>
    <row r="3603" spans="1:19" x14ac:dyDescent="0.3">
      <c r="A3603" t="s">
        <v>5739</v>
      </c>
      <c r="B3603" t="s">
        <v>151</v>
      </c>
      <c r="C3603" t="s">
        <v>151</v>
      </c>
      <c r="D3603" t="s">
        <v>5740</v>
      </c>
      <c r="E3603" t="s">
        <v>3607</v>
      </c>
      <c r="F3603" t="str">
        <f>VLOOKUP(Tabela1[[#This Row],[Plano de contas]],TIPO!A:B,2,0)</f>
        <v>DESPESA C/ PESSOAL</v>
      </c>
      <c r="G3603" t="s">
        <v>523</v>
      </c>
      <c r="H3603" t="s">
        <v>167</v>
      </c>
      <c r="J3603" s="63">
        <v>46152</v>
      </c>
      <c r="K3603" s="6">
        <v>46192</v>
      </c>
      <c r="L3603" s="6" t="s">
        <v>91</v>
      </c>
      <c r="O3603" s="1">
        <v>461.95</v>
      </c>
      <c r="P3603" s="1">
        <v>0</v>
      </c>
      <c r="Q3603" s="1">
        <v>0</v>
      </c>
      <c r="R3603" s="1" t="s">
        <v>151</v>
      </c>
      <c r="S3603" s="1" t="s">
        <v>155</v>
      </c>
    </row>
    <row r="3604" spans="1:19" x14ac:dyDescent="0.3">
      <c r="A3604" t="s">
        <v>5741</v>
      </c>
      <c r="B3604" t="s">
        <v>151</v>
      </c>
      <c r="C3604" t="s">
        <v>151</v>
      </c>
      <c r="D3604" t="s">
        <v>1154</v>
      </c>
      <c r="E3604" t="s">
        <v>30</v>
      </c>
      <c r="F3604" t="str">
        <f>VLOOKUP(Tabela1[[#This Row],[Plano de contas]],TIPO!A:B,2,0)</f>
        <v>OPERACIONAL</v>
      </c>
      <c r="G3604" t="s">
        <v>523</v>
      </c>
      <c r="H3604" t="s">
        <v>167</v>
      </c>
      <c r="J3604" s="63">
        <v>46152</v>
      </c>
      <c r="K3604" s="6">
        <v>46193</v>
      </c>
      <c r="L3604" s="6" t="s">
        <v>91</v>
      </c>
      <c r="O3604" s="1">
        <v>400.07</v>
      </c>
      <c r="P3604" s="1">
        <v>0</v>
      </c>
      <c r="Q3604" s="1">
        <v>0</v>
      </c>
      <c r="R3604" s="1" t="s">
        <v>151</v>
      </c>
      <c r="S3604" s="1" t="s">
        <v>155</v>
      </c>
    </row>
    <row r="3605" spans="1:19" x14ac:dyDescent="0.3">
      <c r="A3605" t="s">
        <v>5742</v>
      </c>
      <c r="B3605" t="s">
        <v>151</v>
      </c>
      <c r="C3605" t="s">
        <v>151</v>
      </c>
      <c r="D3605" t="s">
        <v>1154</v>
      </c>
      <c r="E3605" t="s">
        <v>30</v>
      </c>
      <c r="F3605" t="str">
        <f>VLOOKUP(Tabela1[[#This Row],[Plano de contas]],TIPO!A:B,2,0)</f>
        <v>OPERACIONAL</v>
      </c>
      <c r="G3605" t="s">
        <v>523</v>
      </c>
      <c r="H3605" t="s">
        <v>167</v>
      </c>
      <c r="J3605" s="63">
        <v>46152</v>
      </c>
      <c r="K3605" s="6">
        <v>46194</v>
      </c>
      <c r="L3605" s="6" t="s">
        <v>91</v>
      </c>
      <c r="O3605" s="1">
        <v>472.7</v>
      </c>
      <c r="P3605" s="1">
        <v>0</v>
      </c>
      <c r="Q3605" s="1">
        <v>0</v>
      </c>
      <c r="R3605" s="1" t="s">
        <v>151</v>
      </c>
      <c r="S3605" s="1" t="s">
        <v>155</v>
      </c>
    </row>
    <row r="3606" spans="1:19" x14ac:dyDescent="0.3">
      <c r="A3606" t="s">
        <v>5743</v>
      </c>
      <c r="B3606" t="s">
        <v>151</v>
      </c>
      <c r="C3606" t="s">
        <v>151</v>
      </c>
      <c r="D3606" t="s">
        <v>2568</v>
      </c>
      <c r="E3606" t="s">
        <v>73</v>
      </c>
      <c r="F3606" t="str">
        <f>VLOOKUP(Tabela1[[#This Row],[Plano de contas]],TIPO!A:B,2,0)</f>
        <v>OPERACIONAL</v>
      </c>
      <c r="G3606" t="s">
        <v>523</v>
      </c>
      <c r="H3606" t="s">
        <v>167</v>
      </c>
      <c r="J3606" s="63">
        <v>46152</v>
      </c>
      <c r="K3606" s="6">
        <v>46195</v>
      </c>
      <c r="L3606" s="6" t="s">
        <v>91</v>
      </c>
      <c r="O3606" s="1">
        <v>29.99</v>
      </c>
      <c r="P3606" s="1">
        <v>0</v>
      </c>
      <c r="Q3606" s="1">
        <v>0</v>
      </c>
      <c r="R3606" s="1" t="s">
        <v>151</v>
      </c>
      <c r="S3606" s="1" t="s">
        <v>155</v>
      </c>
    </row>
    <row r="3607" spans="1:19" x14ac:dyDescent="0.3">
      <c r="A3607" t="s">
        <v>5744</v>
      </c>
      <c r="B3607" t="s">
        <v>151</v>
      </c>
      <c r="C3607" t="s">
        <v>151</v>
      </c>
      <c r="D3607" t="s">
        <v>1154</v>
      </c>
      <c r="E3607" t="s">
        <v>30</v>
      </c>
      <c r="F3607" t="str">
        <f>VLOOKUP(Tabela1[[#This Row],[Plano de contas]],TIPO!A:B,2,0)</f>
        <v>OPERACIONAL</v>
      </c>
      <c r="G3607" t="s">
        <v>523</v>
      </c>
      <c r="H3607" t="s">
        <v>167</v>
      </c>
      <c r="J3607" s="63">
        <v>46152</v>
      </c>
      <c r="K3607" s="6">
        <v>46196</v>
      </c>
      <c r="L3607" s="6" t="s">
        <v>91</v>
      </c>
      <c r="O3607" s="1">
        <v>258.47000000000003</v>
      </c>
      <c r="P3607" s="1">
        <v>0</v>
      </c>
      <c r="Q3607" s="1">
        <v>0</v>
      </c>
      <c r="R3607" s="1" t="s">
        <v>151</v>
      </c>
      <c r="S3607" s="1" t="s">
        <v>155</v>
      </c>
    </row>
    <row r="3608" spans="1:19" x14ac:dyDescent="0.3">
      <c r="A3608" t="s">
        <v>5745</v>
      </c>
      <c r="B3608" t="s">
        <v>151</v>
      </c>
      <c r="C3608" t="s">
        <v>151</v>
      </c>
      <c r="D3608" t="s">
        <v>935</v>
      </c>
      <c r="E3608" t="s">
        <v>30</v>
      </c>
      <c r="F3608" t="str">
        <f>VLOOKUP(Tabela1[[#This Row],[Plano de contas]],TIPO!A:B,2,0)</f>
        <v>OPERACIONAL</v>
      </c>
      <c r="G3608" t="s">
        <v>523</v>
      </c>
      <c r="H3608" t="s">
        <v>167</v>
      </c>
      <c r="J3608" s="63">
        <v>46152</v>
      </c>
      <c r="K3608" s="6">
        <v>46197</v>
      </c>
      <c r="L3608" s="6" t="s">
        <v>91</v>
      </c>
      <c r="O3608" s="1">
        <v>363.12</v>
      </c>
      <c r="P3608" s="1">
        <v>0</v>
      </c>
      <c r="Q3608" s="1">
        <v>0</v>
      </c>
      <c r="R3608" s="1" t="s">
        <v>151</v>
      </c>
      <c r="S3608" s="1" t="s">
        <v>155</v>
      </c>
    </row>
    <row r="3609" spans="1:19" x14ac:dyDescent="0.3">
      <c r="A3609" t="s">
        <v>5746</v>
      </c>
      <c r="B3609" t="s">
        <v>151</v>
      </c>
      <c r="C3609" t="s">
        <v>151</v>
      </c>
      <c r="D3609" t="s">
        <v>1114</v>
      </c>
      <c r="E3609" t="s">
        <v>30</v>
      </c>
      <c r="F3609" t="str">
        <f>VLOOKUP(Tabela1[[#This Row],[Plano de contas]],TIPO!A:B,2,0)</f>
        <v>OPERACIONAL</v>
      </c>
      <c r="G3609" t="s">
        <v>523</v>
      </c>
      <c r="H3609" t="s">
        <v>167</v>
      </c>
      <c r="J3609" s="63">
        <v>46152</v>
      </c>
      <c r="K3609" s="6">
        <v>46198</v>
      </c>
      <c r="L3609" s="6" t="s">
        <v>91</v>
      </c>
      <c r="O3609" s="1">
        <v>250</v>
      </c>
      <c r="P3609" s="1">
        <v>0</v>
      </c>
      <c r="Q3609" s="1">
        <v>0</v>
      </c>
      <c r="R3609" s="1" t="s">
        <v>151</v>
      </c>
      <c r="S3609" s="1" t="s">
        <v>155</v>
      </c>
    </row>
    <row r="3610" spans="1:19" x14ac:dyDescent="0.3">
      <c r="A3610" t="s">
        <v>5747</v>
      </c>
      <c r="B3610" t="s">
        <v>151</v>
      </c>
      <c r="C3610" t="s">
        <v>151</v>
      </c>
      <c r="D3610" t="s">
        <v>4129</v>
      </c>
      <c r="E3610" t="s">
        <v>30</v>
      </c>
      <c r="F3610" t="str">
        <f>VLOOKUP(Tabela1[[#This Row],[Plano de contas]],TIPO!A:B,2,0)</f>
        <v>OPERACIONAL</v>
      </c>
      <c r="G3610" t="s">
        <v>523</v>
      </c>
      <c r="H3610" t="s">
        <v>167</v>
      </c>
      <c r="J3610" s="63">
        <v>46152</v>
      </c>
      <c r="K3610" s="6">
        <v>46199</v>
      </c>
      <c r="L3610" s="6" t="s">
        <v>91</v>
      </c>
      <c r="O3610" s="1">
        <v>56.07</v>
      </c>
      <c r="P3610" s="1">
        <v>0</v>
      </c>
      <c r="Q3610" s="1">
        <v>0</v>
      </c>
      <c r="R3610" s="1" t="s">
        <v>151</v>
      </c>
      <c r="S3610" s="1" t="s">
        <v>155</v>
      </c>
    </row>
    <row r="3611" spans="1:19" x14ac:dyDescent="0.3">
      <c r="A3611" t="s">
        <v>5748</v>
      </c>
      <c r="B3611" t="s">
        <v>151</v>
      </c>
      <c r="C3611" t="s">
        <v>151</v>
      </c>
      <c r="D3611" t="s">
        <v>5749</v>
      </c>
      <c r="E3611" t="s">
        <v>73</v>
      </c>
      <c r="F3611" t="str">
        <f>VLOOKUP(Tabela1[[#This Row],[Plano de contas]],TIPO!A:B,2,0)</f>
        <v>OPERACIONAL</v>
      </c>
      <c r="G3611" t="s">
        <v>523</v>
      </c>
      <c r="H3611" t="s">
        <v>167</v>
      </c>
      <c r="J3611" s="63">
        <v>46152</v>
      </c>
      <c r="K3611" s="6">
        <v>46200</v>
      </c>
      <c r="L3611" s="6" t="s">
        <v>91</v>
      </c>
      <c r="O3611" s="1">
        <v>75</v>
      </c>
      <c r="P3611" s="1">
        <v>0</v>
      </c>
      <c r="Q3611" s="1">
        <v>0</v>
      </c>
      <c r="R3611" s="1" t="s">
        <v>151</v>
      </c>
      <c r="S3611" s="1" t="s">
        <v>155</v>
      </c>
    </row>
    <row r="3612" spans="1:19" x14ac:dyDescent="0.3">
      <c r="A3612" t="s">
        <v>5750</v>
      </c>
      <c r="B3612" t="s">
        <v>151</v>
      </c>
      <c r="C3612" t="s">
        <v>151</v>
      </c>
      <c r="D3612" t="s">
        <v>4400</v>
      </c>
      <c r="E3612" t="s">
        <v>82</v>
      </c>
      <c r="F3612" t="str">
        <f>VLOOKUP(Tabela1[[#This Row],[Plano de contas]],TIPO!A:B,2,0)</f>
        <v>OPERACIONAL</v>
      </c>
      <c r="G3612" t="s">
        <v>523</v>
      </c>
      <c r="H3612" t="s">
        <v>167</v>
      </c>
      <c r="J3612" s="63">
        <v>46152</v>
      </c>
      <c r="K3612" s="6">
        <v>46201</v>
      </c>
      <c r="L3612" s="6" t="s">
        <v>91</v>
      </c>
      <c r="O3612" s="1">
        <v>179.75</v>
      </c>
      <c r="P3612" s="1">
        <v>0</v>
      </c>
      <c r="Q3612" s="1">
        <v>0</v>
      </c>
      <c r="R3612" s="1" t="s">
        <v>151</v>
      </c>
      <c r="S3612" s="1" t="s">
        <v>155</v>
      </c>
    </row>
    <row r="3613" spans="1:19" x14ac:dyDescent="0.3">
      <c r="A3613" t="s">
        <v>5751</v>
      </c>
      <c r="B3613" t="s">
        <v>151</v>
      </c>
      <c r="C3613" t="s">
        <v>151</v>
      </c>
      <c r="D3613" t="s">
        <v>5752</v>
      </c>
      <c r="E3613" t="s">
        <v>30</v>
      </c>
      <c r="F3613" t="str">
        <f>VLOOKUP(Tabela1[[#This Row],[Plano de contas]],TIPO!A:B,2,0)</f>
        <v>OPERACIONAL</v>
      </c>
      <c r="G3613" t="s">
        <v>523</v>
      </c>
      <c r="H3613" t="s">
        <v>167</v>
      </c>
      <c r="J3613" s="63">
        <v>46152</v>
      </c>
      <c r="K3613" s="6">
        <v>46202</v>
      </c>
      <c r="L3613" s="6" t="s">
        <v>91</v>
      </c>
      <c r="O3613" s="1">
        <v>250</v>
      </c>
      <c r="P3613" s="1">
        <v>0</v>
      </c>
      <c r="Q3613" s="1">
        <v>0</v>
      </c>
      <c r="R3613" s="1" t="s">
        <v>151</v>
      </c>
      <c r="S3613" s="1" t="s">
        <v>155</v>
      </c>
    </row>
    <row r="3614" spans="1:19" x14ac:dyDescent="0.3">
      <c r="A3614" t="s">
        <v>5753</v>
      </c>
      <c r="B3614" t="s">
        <v>151</v>
      </c>
      <c r="C3614" t="s">
        <v>151</v>
      </c>
      <c r="D3614" t="s">
        <v>5754</v>
      </c>
      <c r="E3614" t="s">
        <v>84</v>
      </c>
      <c r="F3614" t="str">
        <f>VLOOKUP(Tabela1[[#This Row],[Plano de contas]],TIPO!A:B,2,0)</f>
        <v>OPERACIONAL</v>
      </c>
      <c r="G3614" t="s">
        <v>523</v>
      </c>
      <c r="H3614" t="s">
        <v>167</v>
      </c>
      <c r="J3614" s="63">
        <v>46152</v>
      </c>
      <c r="K3614" s="6">
        <v>46203</v>
      </c>
      <c r="L3614" s="6" t="s">
        <v>91</v>
      </c>
      <c r="O3614" s="1">
        <v>40.67</v>
      </c>
      <c r="P3614" s="1">
        <v>0</v>
      </c>
      <c r="Q3614" s="1">
        <v>0</v>
      </c>
      <c r="R3614" s="1" t="s">
        <v>151</v>
      </c>
      <c r="S3614" s="1" t="s">
        <v>155</v>
      </c>
    </row>
    <row r="3615" spans="1:19" x14ac:dyDescent="0.3">
      <c r="A3615" t="s">
        <v>5755</v>
      </c>
      <c r="B3615" t="s">
        <v>151</v>
      </c>
      <c r="C3615" t="s">
        <v>151</v>
      </c>
      <c r="D3615" t="s">
        <v>5756</v>
      </c>
      <c r="E3615" t="s">
        <v>66</v>
      </c>
      <c r="F3615" t="str">
        <f>VLOOKUP(Tabela1[[#This Row],[Plano de contas]],TIPO!A:B,2,0)</f>
        <v>OPERACIONAL</v>
      </c>
      <c r="G3615" t="s">
        <v>523</v>
      </c>
      <c r="H3615" t="s">
        <v>167</v>
      </c>
      <c r="J3615" s="63">
        <v>46152</v>
      </c>
      <c r="K3615" s="6">
        <v>46204</v>
      </c>
      <c r="L3615" s="6" t="s">
        <v>91</v>
      </c>
      <c r="O3615" s="1">
        <v>35</v>
      </c>
      <c r="P3615" s="1">
        <v>0</v>
      </c>
      <c r="Q3615" s="1">
        <v>0</v>
      </c>
      <c r="R3615" s="1" t="s">
        <v>151</v>
      </c>
      <c r="S3615" s="1" t="s">
        <v>155</v>
      </c>
    </row>
    <row r="3616" spans="1:19" x14ac:dyDescent="0.3">
      <c r="A3616" t="s">
        <v>5757</v>
      </c>
      <c r="B3616" t="s">
        <v>151</v>
      </c>
      <c r="C3616" t="s">
        <v>151</v>
      </c>
      <c r="D3616" t="s">
        <v>1154</v>
      </c>
      <c r="E3616" t="s">
        <v>30</v>
      </c>
      <c r="F3616" t="str">
        <f>VLOOKUP(Tabela1[[#This Row],[Plano de contas]],TIPO!A:B,2,0)</f>
        <v>OPERACIONAL</v>
      </c>
      <c r="G3616" t="s">
        <v>523</v>
      </c>
      <c r="H3616" t="s">
        <v>167</v>
      </c>
      <c r="J3616" s="63">
        <v>46152</v>
      </c>
      <c r="K3616" s="6">
        <v>46205</v>
      </c>
      <c r="L3616" s="6" t="s">
        <v>91</v>
      </c>
      <c r="O3616" s="1">
        <v>423.37</v>
      </c>
      <c r="P3616" s="1">
        <v>0</v>
      </c>
      <c r="Q3616" s="1">
        <v>0</v>
      </c>
      <c r="R3616" s="1" t="s">
        <v>151</v>
      </c>
      <c r="S3616" s="1" t="s">
        <v>155</v>
      </c>
    </row>
    <row r="3617" spans="1:19" x14ac:dyDescent="0.3">
      <c r="A3617" t="s">
        <v>5758</v>
      </c>
      <c r="B3617" t="s">
        <v>151</v>
      </c>
      <c r="C3617" t="s">
        <v>151</v>
      </c>
      <c r="D3617" t="s">
        <v>5759</v>
      </c>
      <c r="E3617" t="s">
        <v>72</v>
      </c>
      <c r="F3617" t="str">
        <f>VLOOKUP(Tabela1[[#This Row],[Plano de contas]],TIPO!A:B,2,0)</f>
        <v>OPERACIONAL</v>
      </c>
      <c r="G3617" t="s">
        <v>523</v>
      </c>
      <c r="H3617" t="s">
        <v>167</v>
      </c>
      <c r="J3617" s="63">
        <v>46152</v>
      </c>
      <c r="K3617" s="6">
        <v>46206</v>
      </c>
      <c r="L3617" s="6" t="s">
        <v>91</v>
      </c>
      <c r="O3617" s="1">
        <v>42.39</v>
      </c>
      <c r="P3617" s="1">
        <v>0</v>
      </c>
      <c r="Q3617" s="1">
        <v>0</v>
      </c>
      <c r="R3617" s="1" t="s">
        <v>151</v>
      </c>
      <c r="S3617" s="1" t="s">
        <v>155</v>
      </c>
    </row>
    <row r="3618" spans="1:19" x14ac:dyDescent="0.3">
      <c r="A3618" t="s">
        <v>5760</v>
      </c>
      <c r="B3618" t="s">
        <v>151</v>
      </c>
      <c r="C3618" t="s">
        <v>151</v>
      </c>
      <c r="D3618" t="s">
        <v>1154</v>
      </c>
      <c r="E3618" t="s">
        <v>30</v>
      </c>
      <c r="F3618" t="str">
        <f>VLOOKUP(Tabela1[[#This Row],[Plano de contas]],TIPO!A:B,2,0)</f>
        <v>OPERACIONAL</v>
      </c>
      <c r="G3618" t="s">
        <v>523</v>
      </c>
      <c r="H3618" t="s">
        <v>167</v>
      </c>
      <c r="J3618" s="63">
        <v>46152</v>
      </c>
      <c r="K3618" s="6">
        <v>46207</v>
      </c>
      <c r="L3618" s="6" t="s">
        <v>91</v>
      </c>
      <c r="O3618" s="1">
        <v>150</v>
      </c>
      <c r="P3618" s="1">
        <v>0</v>
      </c>
      <c r="Q3618" s="1">
        <v>0</v>
      </c>
      <c r="R3618" s="1" t="s">
        <v>151</v>
      </c>
      <c r="S3618" s="1" t="s">
        <v>155</v>
      </c>
    </row>
    <row r="3619" spans="1:19" x14ac:dyDescent="0.3">
      <c r="A3619" t="s">
        <v>5761</v>
      </c>
      <c r="B3619" t="s">
        <v>151</v>
      </c>
      <c r="C3619" t="s">
        <v>151</v>
      </c>
      <c r="D3619" t="s">
        <v>5762</v>
      </c>
      <c r="E3619" t="s">
        <v>49</v>
      </c>
      <c r="F3619" t="str">
        <f>VLOOKUP(Tabela1[[#This Row],[Plano de contas]],TIPO!A:B,2,0)</f>
        <v>DESPESA C/ PESSOAL</v>
      </c>
      <c r="G3619" t="s">
        <v>523</v>
      </c>
      <c r="H3619" t="s">
        <v>167</v>
      </c>
      <c r="J3619" s="63">
        <v>46152</v>
      </c>
      <c r="K3619" s="6">
        <v>46208</v>
      </c>
      <c r="L3619" s="6" t="s">
        <v>91</v>
      </c>
      <c r="O3619" s="1">
        <v>67</v>
      </c>
      <c r="P3619" s="1">
        <v>0</v>
      </c>
      <c r="Q3619" s="1">
        <v>0</v>
      </c>
      <c r="R3619" s="1" t="s">
        <v>151</v>
      </c>
      <c r="S3619" s="1" t="s">
        <v>155</v>
      </c>
    </row>
    <row r="3620" spans="1:19" x14ac:dyDescent="0.3">
      <c r="A3620" t="s">
        <v>5763</v>
      </c>
      <c r="B3620" t="s">
        <v>151</v>
      </c>
      <c r="C3620" t="s">
        <v>151</v>
      </c>
      <c r="D3620" t="s">
        <v>935</v>
      </c>
      <c r="E3620" t="s">
        <v>30</v>
      </c>
      <c r="F3620" t="str">
        <f>VLOOKUP(Tabela1[[#This Row],[Plano de contas]],TIPO!A:B,2,0)</f>
        <v>OPERACIONAL</v>
      </c>
      <c r="G3620" t="s">
        <v>523</v>
      </c>
      <c r="H3620" t="s">
        <v>167</v>
      </c>
      <c r="J3620" s="63">
        <v>46152</v>
      </c>
      <c r="K3620" s="6">
        <v>46209</v>
      </c>
      <c r="L3620" s="6" t="s">
        <v>91</v>
      </c>
      <c r="O3620" s="1">
        <v>375.15</v>
      </c>
      <c r="P3620" s="1">
        <v>0</v>
      </c>
      <c r="Q3620" s="1">
        <v>0</v>
      </c>
      <c r="R3620" s="1" t="s">
        <v>151</v>
      </c>
      <c r="S3620" s="1" t="s">
        <v>155</v>
      </c>
    </row>
    <row r="3621" spans="1:19" x14ac:dyDescent="0.3">
      <c r="A3621" t="s">
        <v>5764</v>
      </c>
      <c r="B3621" t="s">
        <v>151</v>
      </c>
      <c r="C3621" t="s">
        <v>151</v>
      </c>
      <c r="D3621" t="s">
        <v>935</v>
      </c>
      <c r="E3621" t="s">
        <v>30</v>
      </c>
      <c r="F3621" t="str">
        <f>VLOOKUP(Tabela1[[#This Row],[Plano de contas]],TIPO!A:B,2,0)</f>
        <v>OPERACIONAL</v>
      </c>
      <c r="G3621" t="s">
        <v>523</v>
      </c>
      <c r="H3621" t="s">
        <v>167</v>
      </c>
      <c r="J3621" s="63">
        <v>46152</v>
      </c>
      <c r="K3621" s="6">
        <v>46210</v>
      </c>
      <c r="L3621" s="6" t="s">
        <v>91</v>
      </c>
      <c r="O3621" s="1">
        <v>100</v>
      </c>
      <c r="P3621" s="1">
        <v>0</v>
      </c>
      <c r="Q3621" s="1">
        <v>0</v>
      </c>
      <c r="R3621" s="1" t="s">
        <v>151</v>
      </c>
      <c r="S3621" s="1" t="s">
        <v>155</v>
      </c>
    </row>
    <row r="3622" spans="1:19" x14ac:dyDescent="0.3">
      <c r="A3622" t="s">
        <v>5765</v>
      </c>
      <c r="B3622" t="s">
        <v>151</v>
      </c>
      <c r="C3622" t="s">
        <v>151</v>
      </c>
      <c r="D3622" t="s">
        <v>935</v>
      </c>
      <c r="E3622" t="s">
        <v>30</v>
      </c>
      <c r="F3622" t="str">
        <f>VLOOKUP(Tabela1[[#This Row],[Plano de contas]],TIPO!A:B,2,0)</f>
        <v>OPERACIONAL</v>
      </c>
      <c r="G3622" t="s">
        <v>523</v>
      </c>
      <c r="H3622" t="s">
        <v>167</v>
      </c>
      <c r="J3622" s="63">
        <v>46152</v>
      </c>
      <c r="K3622" s="6">
        <v>46211</v>
      </c>
      <c r="L3622" s="6" t="s">
        <v>91</v>
      </c>
      <c r="O3622" s="1">
        <v>246.3</v>
      </c>
      <c r="P3622" s="1">
        <v>0</v>
      </c>
      <c r="Q3622" s="1">
        <v>0</v>
      </c>
      <c r="R3622" s="1" t="s">
        <v>151</v>
      </c>
      <c r="S3622" s="1" t="s">
        <v>155</v>
      </c>
    </row>
    <row r="3623" spans="1:19" x14ac:dyDescent="0.3">
      <c r="A3623" t="s">
        <v>5766</v>
      </c>
      <c r="B3623" t="s">
        <v>151</v>
      </c>
      <c r="C3623" t="s">
        <v>151</v>
      </c>
      <c r="D3623" t="s">
        <v>1154</v>
      </c>
      <c r="E3623" t="s">
        <v>30</v>
      </c>
      <c r="F3623" t="str">
        <f>VLOOKUP(Tabela1[[#This Row],[Plano de contas]],TIPO!A:B,2,0)</f>
        <v>OPERACIONAL</v>
      </c>
      <c r="G3623" t="s">
        <v>523</v>
      </c>
      <c r="H3623" t="s">
        <v>167</v>
      </c>
      <c r="J3623" s="63">
        <v>46152</v>
      </c>
      <c r="K3623" s="6">
        <v>46212</v>
      </c>
      <c r="L3623" s="6" t="s">
        <v>91</v>
      </c>
      <c r="O3623" s="1">
        <v>448.56</v>
      </c>
      <c r="P3623" s="1">
        <v>0</v>
      </c>
      <c r="Q3623" s="1">
        <v>0</v>
      </c>
      <c r="R3623" s="1" t="s">
        <v>151</v>
      </c>
      <c r="S3623" s="1" t="s">
        <v>155</v>
      </c>
    </row>
    <row r="3624" spans="1:19" x14ac:dyDescent="0.3">
      <c r="A3624" t="s">
        <v>5767</v>
      </c>
      <c r="B3624" t="s">
        <v>151</v>
      </c>
      <c r="C3624" t="s">
        <v>151</v>
      </c>
      <c r="D3624" t="s">
        <v>2556</v>
      </c>
      <c r="E3624" t="s">
        <v>84</v>
      </c>
      <c r="F3624" t="str">
        <f>VLOOKUP(Tabela1[[#This Row],[Plano de contas]],TIPO!A:B,2,0)</f>
        <v>OPERACIONAL</v>
      </c>
      <c r="G3624" t="s">
        <v>523</v>
      </c>
      <c r="H3624" t="s">
        <v>167</v>
      </c>
      <c r="J3624" s="63">
        <v>46152</v>
      </c>
      <c r="K3624" s="6">
        <v>46213</v>
      </c>
      <c r="L3624" s="6" t="s">
        <v>91</v>
      </c>
      <c r="O3624" s="1">
        <v>63.31</v>
      </c>
      <c r="P3624" s="1">
        <v>0</v>
      </c>
      <c r="Q3624" s="1">
        <v>0</v>
      </c>
      <c r="R3624" s="1" t="s">
        <v>151</v>
      </c>
      <c r="S3624" s="1" t="s">
        <v>155</v>
      </c>
    </row>
    <row r="3625" spans="1:19" x14ac:dyDescent="0.3">
      <c r="A3625" t="s">
        <v>5768</v>
      </c>
      <c r="B3625" t="s">
        <v>151</v>
      </c>
      <c r="C3625" t="s">
        <v>151</v>
      </c>
      <c r="D3625" t="s">
        <v>935</v>
      </c>
      <c r="E3625" t="s">
        <v>30</v>
      </c>
      <c r="F3625" t="str">
        <f>VLOOKUP(Tabela1[[#This Row],[Plano de contas]],TIPO!A:B,2,0)</f>
        <v>OPERACIONAL</v>
      </c>
      <c r="G3625" t="s">
        <v>523</v>
      </c>
      <c r="H3625" t="s">
        <v>167</v>
      </c>
      <c r="J3625" s="63">
        <v>46152</v>
      </c>
      <c r="K3625" s="6">
        <v>46214</v>
      </c>
      <c r="L3625" s="6" t="s">
        <v>91</v>
      </c>
      <c r="O3625" s="1">
        <v>268.67</v>
      </c>
      <c r="P3625" s="1">
        <v>0</v>
      </c>
      <c r="Q3625" s="1">
        <v>0</v>
      </c>
      <c r="R3625" s="1" t="s">
        <v>151</v>
      </c>
      <c r="S3625" s="1" t="s">
        <v>155</v>
      </c>
    </row>
    <row r="3626" spans="1:19" x14ac:dyDescent="0.3">
      <c r="A3626" t="s">
        <v>5769</v>
      </c>
      <c r="B3626" t="s">
        <v>151</v>
      </c>
      <c r="C3626" t="s">
        <v>151</v>
      </c>
      <c r="D3626" t="s">
        <v>5150</v>
      </c>
      <c r="E3626" t="s">
        <v>82</v>
      </c>
      <c r="F3626" t="str">
        <f>VLOOKUP(Tabela1[[#This Row],[Plano de contas]],TIPO!A:B,2,0)</f>
        <v>OPERACIONAL</v>
      </c>
      <c r="G3626" t="s">
        <v>213</v>
      </c>
      <c r="H3626" t="s">
        <v>167</v>
      </c>
      <c r="J3626" s="63">
        <v>46153</v>
      </c>
      <c r="K3626" s="6">
        <v>46215</v>
      </c>
      <c r="L3626" s="6" t="s">
        <v>91</v>
      </c>
      <c r="O3626" s="1">
        <v>99.9</v>
      </c>
      <c r="P3626" s="1">
        <v>0</v>
      </c>
      <c r="Q3626" s="1">
        <v>0</v>
      </c>
      <c r="R3626" s="1" t="s">
        <v>151</v>
      </c>
      <c r="S3626" s="1" t="s">
        <v>155</v>
      </c>
    </row>
    <row r="3627" spans="1:19" x14ac:dyDescent="0.3">
      <c r="A3627" t="s">
        <v>5770</v>
      </c>
      <c r="B3627" t="s">
        <v>151</v>
      </c>
      <c r="C3627" t="s">
        <v>151</v>
      </c>
      <c r="D3627" t="s">
        <v>5771</v>
      </c>
      <c r="E3627" t="s">
        <v>3559</v>
      </c>
      <c r="F3627" t="str">
        <f>VLOOKUP(Tabela1[[#This Row],[Plano de contas]],TIPO!A:B,2,0)</f>
        <v>OPERACIONAL</v>
      </c>
      <c r="G3627" t="s">
        <v>158</v>
      </c>
      <c r="H3627" t="s">
        <v>159</v>
      </c>
      <c r="J3627" s="63">
        <v>46153</v>
      </c>
      <c r="K3627" s="6">
        <v>46216</v>
      </c>
      <c r="L3627" s="6" t="s">
        <v>91</v>
      </c>
      <c r="O3627" s="1">
        <v>20</v>
      </c>
      <c r="P3627" s="1">
        <v>0</v>
      </c>
      <c r="Q3627" s="1">
        <v>0</v>
      </c>
      <c r="R3627" s="1" t="s">
        <v>151</v>
      </c>
      <c r="S3627" s="1" t="s">
        <v>155</v>
      </c>
    </row>
    <row r="3628" spans="1:19" x14ac:dyDescent="0.3">
      <c r="A3628" t="s">
        <v>5772</v>
      </c>
      <c r="B3628" t="s">
        <v>151</v>
      </c>
      <c r="C3628" t="s">
        <v>151</v>
      </c>
      <c r="D3628" t="s">
        <v>5773</v>
      </c>
      <c r="E3628" t="s">
        <v>32</v>
      </c>
      <c r="F3628" t="str">
        <f>VLOOKUP(Tabela1[[#This Row],[Plano de contas]],TIPO!A:B,2,0)</f>
        <v>DESPESA C/ PESSOAL</v>
      </c>
      <c r="G3628" t="s">
        <v>158</v>
      </c>
      <c r="H3628" t="s">
        <v>159</v>
      </c>
      <c r="J3628" s="63">
        <v>46153</v>
      </c>
      <c r="K3628" s="6">
        <v>46217</v>
      </c>
      <c r="L3628" s="6" t="s">
        <v>91</v>
      </c>
      <c r="O3628" s="1">
        <v>1250</v>
      </c>
      <c r="P3628" s="1">
        <v>0</v>
      </c>
      <c r="Q3628" s="1">
        <v>0</v>
      </c>
      <c r="R3628" s="1" t="s">
        <v>151</v>
      </c>
      <c r="S3628" s="1" t="s">
        <v>155</v>
      </c>
    </row>
    <row r="3629" spans="1:19" x14ac:dyDescent="0.3">
      <c r="A3629" t="s">
        <v>5774</v>
      </c>
      <c r="B3629" t="s">
        <v>151</v>
      </c>
      <c r="C3629" t="s">
        <v>151</v>
      </c>
      <c r="D3629" t="s">
        <v>5775</v>
      </c>
      <c r="E3629" t="s">
        <v>46</v>
      </c>
      <c r="F3629" t="str">
        <f>VLOOKUP(Tabela1[[#This Row],[Plano de contas]],TIPO!A:B,2,0)</f>
        <v>FINANCEIRA</v>
      </c>
      <c r="G3629" t="s">
        <v>304</v>
      </c>
      <c r="H3629" t="s">
        <v>278</v>
      </c>
      <c r="J3629" s="63">
        <v>46153</v>
      </c>
      <c r="K3629" s="6">
        <v>46218</v>
      </c>
      <c r="L3629" s="6" t="s">
        <v>91</v>
      </c>
      <c r="O3629" s="1">
        <v>495.15</v>
      </c>
      <c r="P3629" s="1">
        <v>0</v>
      </c>
      <c r="Q3629" s="1">
        <v>0</v>
      </c>
      <c r="R3629" s="1" t="s">
        <v>151</v>
      </c>
      <c r="S3629" s="1" t="s">
        <v>155</v>
      </c>
    </row>
    <row r="3630" spans="1:19" x14ac:dyDescent="0.3">
      <c r="A3630" t="s">
        <v>5776</v>
      </c>
      <c r="B3630" t="s">
        <v>151</v>
      </c>
      <c r="C3630" t="s">
        <v>151</v>
      </c>
      <c r="D3630" t="s">
        <v>5777</v>
      </c>
      <c r="E3630" t="s">
        <v>83</v>
      </c>
      <c r="F3630" t="str">
        <f>VLOOKUP(Tabela1[[#This Row],[Plano de contas]],TIPO!A:B,2,0)</f>
        <v>OPERACIONAL</v>
      </c>
      <c r="G3630" t="s">
        <v>213</v>
      </c>
      <c r="H3630" t="s">
        <v>167</v>
      </c>
      <c r="J3630" s="63">
        <v>46153</v>
      </c>
      <c r="K3630" s="6">
        <v>46219</v>
      </c>
      <c r="L3630" s="6" t="s">
        <v>91</v>
      </c>
      <c r="O3630" s="1">
        <v>99.9</v>
      </c>
      <c r="P3630" s="1">
        <v>0</v>
      </c>
      <c r="Q3630" s="1">
        <v>0</v>
      </c>
      <c r="R3630" s="1" t="s">
        <v>151</v>
      </c>
      <c r="S3630" s="1" t="s">
        <v>155</v>
      </c>
    </row>
    <row r="3631" spans="1:19" x14ac:dyDescent="0.3">
      <c r="A3631" t="s">
        <v>5778</v>
      </c>
      <c r="B3631" t="s">
        <v>151</v>
      </c>
      <c r="C3631" t="s">
        <v>151</v>
      </c>
      <c r="D3631" t="s">
        <v>5779</v>
      </c>
      <c r="E3631" t="s">
        <v>4539</v>
      </c>
      <c r="F3631" t="str">
        <f>VLOOKUP(Tabela1[[#This Row],[Plano de contas]],TIPO!A:B,2,0)</f>
        <v>FORNECEDOR</v>
      </c>
      <c r="G3631" t="s">
        <v>158</v>
      </c>
      <c r="H3631" t="s">
        <v>159</v>
      </c>
      <c r="J3631" s="63">
        <v>46153</v>
      </c>
      <c r="K3631" s="6">
        <v>46220</v>
      </c>
      <c r="L3631" s="6" t="s">
        <v>91</v>
      </c>
      <c r="O3631" s="1">
        <v>1200</v>
      </c>
      <c r="P3631" s="1">
        <v>0</v>
      </c>
      <c r="Q3631" s="1">
        <v>0</v>
      </c>
      <c r="R3631" s="1" t="s">
        <v>151</v>
      </c>
      <c r="S3631" s="1" t="s">
        <v>155</v>
      </c>
    </row>
    <row r="3632" spans="1:19" x14ac:dyDescent="0.3">
      <c r="A3632" t="s">
        <v>5780</v>
      </c>
      <c r="B3632" t="s">
        <v>151</v>
      </c>
      <c r="C3632" t="s">
        <v>151</v>
      </c>
      <c r="D3632" t="s">
        <v>449</v>
      </c>
      <c r="E3632" t="s">
        <v>18</v>
      </c>
      <c r="F3632" t="str">
        <f>VLOOKUP(Tabela1[[#This Row],[Plano de contas]],TIPO!A:B,2,0)</f>
        <v>DESPESA C/ PESSOAL</v>
      </c>
      <c r="G3632" t="s">
        <v>158</v>
      </c>
      <c r="H3632" t="s">
        <v>159</v>
      </c>
      <c r="J3632" s="63">
        <v>46153</v>
      </c>
      <c r="K3632" s="6">
        <v>46221</v>
      </c>
      <c r="L3632" s="6" t="s">
        <v>91</v>
      </c>
      <c r="O3632" s="1">
        <v>36.99</v>
      </c>
      <c r="P3632" s="1">
        <v>0</v>
      </c>
      <c r="Q3632" s="1">
        <v>0</v>
      </c>
      <c r="R3632" s="1" t="s">
        <v>151</v>
      </c>
      <c r="S3632" s="1" t="s">
        <v>155</v>
      </c>
    </row>
    <row r="3633" spans="1:19" x14ac:dyDescent="0.3">
      <c r="A3633" t="s">
        <v>5781</v>
      </c>
      <c r="B3633" t="s">
        <v>151</v>
      </c>
      <c r="C3633" t="s">
        <v>151</v>
      </c>
      <c r="D3633" t="s">
        <v>449</v>
      </c>
      <c r="E3633" t="s">
        <v>18</v>
      </c>
      <c r="F3633" t="str">
        <f>VLOOKUP(Tabela1[[#This Row],[Plano de contas]],TIPO!A:B,2,0)</f>
        <v>DESPESA C/ PESSOAL</v>
      </c>
      <c r="G3633" t="s">
        <v>158</v>
      </c>
      <c r="H3633" t="s">
        <v>159</v>
      </c>
      <c r="J3633" s="63">
        <v>46153</v>
      </c>
      <c r="K3633" s="6">
        <v>46222</v>
      </c>
      <c r="L3633" s="6" t="s">
        <v>91</v>
      </c>
      <c r="O3633" s="1">
        <v>36</v>
      </c>
      <c r="P3633" s="1">
        <v>0</v>
      </c>
      <c r="Q3633" s="1">
        <v>0</v>
      </c>
      <c r="R3633" s="1" t="s">
        <v>151</v>
      </c>
      <c r="S3633" s="1" t="s">
        <v>155</v>
      </c>
    </row>
    <row r="3634" spans="1:19" x14ac:dyDescent="0.3">
      <c r="A3634" t="s">
        <v>5782</v>
      </c>
      <c r="B3634" t="s">
        <v>151</v>
      </c>
      <c r="C3634" t="s">
        <v>151</v>
      </c>
      <c r="D3634" t="s">
        <v>935</v>
      </c>
      <c r="E3634" t="s">
        <v>30</v>
      </c>
      <c r="F3634" t="str">
        <f>VLOOKUP(Tabela1[[#This Row],[Plano de contas]],TIPO!A:B,2,0)</f>
        <v>OPERACIONAL</v>
      </c>
      <c r="G3634" t="s">
        <v>158</v>
      </c>
      <c r="H3634" t="s">
        <v>159</v>
      </c>
      <c r="J3634" s="63">
        <v>46153</v>
      </c>
      <c r="K3634" s="6">
        <v>46223</v>
      </c>
      <c r="L3634" s="6" t="s">
        <v>91</v>
      </c>
      <c r="O3634" s="1">
        <v>50</v>
      </c>
      <c r="P3634" s="1">
        <v>0</v>
      </c>
      <c r="Q3634" s="1">
        <v>0</v>
      </c>
      <c r="R3634" s="1" t="s">
        <v>151</v>
      </c>
      <c r="S3634" s="1" t="s">
        <v>155</v>
      </c>
    </row>
    <row r="3635" spans="1:19" x14ac:dyDescent="0.3">
      <c r="A3635" t="s">
        <v>5783</v>
      </c>
      <c r="B3635" t="s">
        <v>151</v>
      </c>
      <c r="C3635" t="s">
        <v>151</v>
      </c>
      <c r="D3635" t="s">
        <v>5784</v>
      </c>
      <c r="E3635" t="s">
        <v>103</v>
      </c>
      <c r="F3635" t="str">
        <f>VLOOKUP(Tabela1[[#This Row],[Plano de contas]],TIPO!A:B,2,0)</f>
        <v>OPERACIONAL</v>
      </c>
      <c r="G3635" t="s">
        <v>213</v>
      </c>
      <c r="H3635" t="s">
        <v>159</v>
      </c>
      <c r="J3635" s="63">
        <v>46153</v>
      </c>
      <c r="K3635" s="6">
        <v>46224</v>
      </c>
      <c r="L3635" s="6" t="s">
        <v>91</v>
      </c>
      <c r="O3635" s="1">
        <v>195</v>
      </c>
      <c r="P3635" s="1">
        <v>0</v>
      </c>
      <c r="Q3635" s="1">
        <v>0</v>
      </c>
      <c r="R3635" s="1" t="s">
        <v>151</v>
      </c>
      <c r="S3635" s="1" t="s">
        <v>155</v>
      </c>
    </row>
    <row r="3636" spans="1:19" x14ac:dyDescent="0.3">
      <c r="A3636" t="s">
        <v>5785</v>
      </c>
      <c r="B3636" t="s">
        <v>151</v>
      </c>
      <c r="C3636" t="s">
        <v>151</v>
      </c>
      <c r="D3636" t="s">
        <v>5498</v>
      </c>
      <c r="E3636" t="s">
        <v>14</v>
      </c>
      <c r="F3636" t="str">
        <f>VLOOKUP(Tabela1[[#This Row],[Plano de contas]],TIPO!A:B,2,0)</f>
        <v>AJUSTE DE CAIXA</v>
      </c>
      <c r="G3636" t="s">
        <v>177</v>
      </c>
      <c r="H3636" t="s">
        <v>167</v>
      </c>
      <c r="J3636" s="63">
        <v>46153</v>
      </c>
      <c r="K3636" s="6">
        <v>46225</v>
      </c>
      <c r="L3636" s="6" t="s">
        <v>91</v>
      </c>
      <c r="O3636" s="1">
        <v>339.4</v>
      </c>
      <c r="P3636" s="1">
        <v>0</v>
      </c>
      <c r="Q3636" s="1">
        <v>0</v>
      </c>
      <c r="R3636" s="1" t="s">
        <v>151</v>
      </c>
      <c r="S3636" s="1" t="s">
        <v>155</v>
      </c>
    </row>
    <row r="3637" spans="1:19" x14ac:dyDescent="0.3">
      <c r="A3637" t="s">
        <v>5786</v>
      </c>
      <c r="B3637" t="s">
        <v>151</v>
      </c>
      <c r="C3637" t="s">
        <v>151</v>
      </c>
      <c r="D3637" t="s">
        <v>3208</v>
      </c>
      <c r="E3637" t="s">
        <v>14</v>
      </c>
      <c r="F3637" t="str">
        <f>VLOOKUP(Tabela1[[#This Row],[Plano de contas]],TIPO!A:B,2,0)</f>
        <v>AJUSTE DE CAIXA</v>
      </c>
      <c r="G3637" t="s">
        <v>177</v>
      </c>
      <c r="H3637" t="s">
        <v>167</v>
      </c>
      <c r="J3637" s="63">
        <v>46153</v>
      </c>
      <c r="K3637" s="6">
        <v>46226</v>
      </c>
      <c r="L3637" s="6" t="s">
        <v>91</v>
      </c>
      <c r="O3637" s="1">
        <v>104.7</v>
      </c>
      <c r="P3637" s="1">
        <v>0</v>
      </c>
      <c r="Q3637" s="1">
        <v>0</v>
      </c>
      <c r="R3637" s="1" t="s">
        <v>151</v>
      </c>
      <c r="S3637" s="1" t="s">
        <v>155</v>
      </c>
    </row>
    <row r="3638" spans="1:19" x14ac:dyDescent="0.3">
      <c r="A3638" t="s">
        <v>5787</v>
      </c>
      <c r="B3638" t="s">
        <v>151</v>
      </c>
      <c r="C3638" t="s">
        <v>151</v>
      </c>
      <c r="D3638" t="s">
        <v>1311</v>
      </c>
      <c r="E3638" t="s">
        <v>14</v>
      </c>
      <c r="F3638" t="str">
        <f>VLOOKUP(Tabela1[[#This Row],[Plano de contas]],TIPO!A:B,2,0)</f>
        <v>AJUSTE DE CAIXA</v>
      </c>
      <c r="G3638" t="s">
        <v>177</v>
      </c>
      <c r="H3638" t="s">
        <v>167</v>
      </c>
      <c r="J3638" s="63">
        <v>46153</v>
      </c>
      <c r="K3638" s="6">
        <v>46227</v>
      </c>
      <c r="L3638" s="6" t="s">
        <v>91</v>
      </c>
      <c r="O3638" s="1">
        <v>1915.38</v>
      </c>
      <c r="P3638" s="1">
        <v>0</v>
      </c>
      <c r="Q3638" s="1">
        <v>0</v>
      </c>
      <c r="R3638" s="1" t="s">
        <v>151</v>
      </c>
      <c r="S3638" s="1" t="s">
        <v>155</v>
      </c>
    </row>
    <row r="3639" spans="1:19" x14ac:dyDescent="0.3">
      <c r="A3639" t="s">
        <v>5788</v>
      </c>
      <c r="B3639" t="s">
        <v>151</v>
      </c>
      <c r="C3639" t="s">
        <v>151</v>
      </c>
      <c r="D3639" t="s">
        <v>5789</v>
      </c>
      <c r="E3639" t="s">
        <v>14</v>
      </c>
      <c r="F3639" t="str">
        <f>VLOOKUP(Tabela1[[#This Row],[Plano de contas]],TIPO!A:B,2,0)</f>
        <v>AJUSTE DE CAIXA</v>
      </c>
      <c r="G3639" t="s">
        <v>213</v>
      </c>
      <c r="H3639" t="s">
        <v>167</v>
      </c>
      <c r="J3639" s="63">
        <v>46153</v>
      </c>
      <c r="K3639" s="6">
        <v>46228</v>
      </c>
      <c r="L3639" s="6" t="s">
        <v>91</v>
      </c>
      <c r="O3639" s="1">
        <v>8429.67</v>
      </c>
      <c r="P3639" s="1">
        <v>0</v>
      </c>
      <c r="Q3639" s="1">
        <v>0</v>
      </c>
      <c r="R3639" s="1" t="s">
        <v>151</v>
      </c>
      <c r="S3639" s="1" t="s">
        <v>155</v>
      </c>
    </row>
    <row r="3640" spans="1:19" x14ac:dyDescent="0.3">
      <c r="A3640" t="s">
        <v>5790</v>
      </c>
      <c r="B3640" t="s">
        <v>151</v>
      </c>
      <c r="C3640" t="s">
        <v>151</v>
      </c>
      <c r="D3640" t="s">
        <v>1316</v>
      </c>
      <c r="E3640" t="s">
        <v>43</v>
      </c>
      <c r="F3640" t="str">
        <f>VLOOKUP(Tabela1[[#This Row],[Plano de contas]],TIPO!A:B,2,0)</f>
        <v>FINANCEIRA</v>
      </c>
      <c r="G3640" t="s">
        <v>177</v>
      </c>
      <c r="H3640" t="s">
        <v>150</v>
      </c>
      <c r="J3640" s="63">
        <v>46153</v>
      </c>
      <c r="K3640" s="6">
        <v>46229</v>
      </c>
      <c r="L3640" s="6" t="s">
        <v>91</v>
      </c>
      <c r="O3640" s="1">
        <v>541.29</v>
      </c>
      <c r="P3640" s="1">
        <v>0</v>
      </c>
      <c r="Q3640" s="1">
        <v>0</v>
      </c>
      <c r="R3640" s="1" t="s">
        <v>151</v>
      </c>
      <c r="S3640" s="1" t="s">
        <v>155</v>
      </c>
    </row>
    <row r="3641" spans="1:19" x14ac:dyDescent="0.3">
      <c r="A3641" t="s">
        <v>5791</v>
      </c>
      <c r="B3641" t="s">
        <v>151</v>
      </c>
      <c r="C3641" t="s">
        <v>151</v>
      </c>
      <c r="D3641" t="s">
        <v>4416</v>
      </c>
      <c r="E3641" t="s">
        <v>3559</v>
      </c>
      <c r="F3641" t="str">
        <f>VLOOKUP(Tabela1[[#This Row],[Plano de contas]],TIPO!A:B,2,0)</f>
        <v>OPERACIONAL</v>
      </c>
      <c r="G3641" t="s">
        <v>158</v>
      </c>
      <c r="H3641" t="s">
        <v>159</v>
      </c>
      <c r="J3641" s="63">
        <v>46154</v>
      </c>
      <c r="K3641" s="6">
        <v>46230</v>
      </c>
      <c r="L3641" s="6" t="s">
        <v>91</v>
      </c>
      <c r="O3641" s="1">
        <v>50</v>
      </c>
      <c r="P3641" s="1">
        <v>0</v>
      </c>
      <c r="Q3641" s="1">
        <v>0</v>
      </c>
      <c r="R3641" s="1" t="s">
        <v>151</v>
      </c>
      <c r="S3641" s="1" t="s">
        <v>155</v>
      </c>
    </row>
    <row r="3642" spans="1:19" x14ac:dyDescent="0.3">
      <c r="A3642" t="s">
        <v>5792</v>
      </c>
      <c r="B3642" t="s">
        <v>151</v>
      </c>
      <c r="C3642" t="s">
        <v>151</v>
      </c>
      <c r="D3642" t="s">
        <v>5793</v>
      </c>
      <c r="E3642" t="s">
        <v>59</v>
      </c>
      <c r="F3642" t="str">
        <f>VLOOKUP(Tabela1[[#This Row],[Plano de contas]],TIPO!A:B,2,0)</f>
        <v>OPERACIONAL</v>
      </c>
      <c r="G3642" t="s">
        <v>158</v>
      </c>
      <c r="H3642" t="s">
        <v>159</v>
      </c>
      <c r="J3642" s="63">
        <v>46154</v>
      </c>
      <c r="K3642" s="6">
        <v>46231</v>
      </c>
      <c r="L3642" s="6" t="s">
        <v>91</v>
      </c>
      <c r="O3642" s="1">
        <v>1300</v>
      </c>
      <c r="P3642" s="1">
        <v>0</v>
      </c>
      <c r="Q3642" s="1">
        <v>0</v>
      </c>
      <c r="R3642" s="1" t="s">
        <v>151</v>
      </c>
      <c r="S3642" s="1" t="s">
        <v>155</v>
      </c>
    </row>
    <row r="3643" spans="1:19" x14ac:dyDescent="0.3">
      <c r="A3643" t="s">
        <v>5794</v>
      </c>
      <c r="B3643" t="s">
        <v>151</v>
      </c>
      <c r="C3643" t="s">
        <v>151</v>
      </c>
      <c r="D3643" t="s">
        <v>449</v>
      </c>
      <c r="E3643" t="s">
        <v>18</v>
      </c>
      <c r="F3643" t="str">
        <f>VLOOKUP(Tabela1[[#This Row],[Plano de contas]],TIPO!A:B,2,0)</f>
        <v>DESPESA C/ PESSOAL</v>
      </c>
      <c r="G3643" t="s">
        <v>158</v>
      </c>
      <c r="H3643" t="s">
        <v>159</v>
      </c>
      <c r="J3643" s="63">
        <v>46154</v>
      </c>
      <c r="K3643" s="6">
        <v>46232</v>
      </c>
      <c r="L3643" s="6" t="s">
        <v>91</v>
      </c>
      <c r="O3643" s="1">
        <v>56.6</v>
      </c>
      <c r="P3643" s="1">
        <v>0</v>
      </c>
      <c r="Q3643" s="1">
        <v>0</v>
      </c>
      <c r="R3643" s="1" t="s">
        <v>151</v>
      </c>
      <c r="S3643" s="1" t="s">
        <v>155</v>
      </c>
    </row>
    <row r="3644" spans="1:19" x14ac:dyDescent="0.3">
      <c r="A3644" t="s">
        <v>5795</v>
      </c>
      <c r="B3644" t="s">
        <v>151</v>
      </c>
      <c r="C3644" t="s">
        <v>151</v>
      </c>
      <c r="D3644" t="s">
        <v>2573</v>
      </c>
      <c r="E3644" t="s">
        <v>39</v>
      </c>
      <c r="F3644" t="str">
        <f>VLOOKUP(Tabela1[[#This Row],[Plano de contas]],TIPO!A:B,2,0)</f>
        <v>FINANCEIRA</v>
      </c>
      <c r="G3644" t="s">
        <v>177</v>
      </c>
      <c r="H3644" t="s">
        <v>159</v>
      </c>
      <c r="J3644" s="63">
        <v>46154</v>
      </c>
      <c r="K3644" s="6">
        <v>46233</v>
      </c>
      <c r="L3644" s="6" t="s">
        <v>91</v>
      </c>
      <c r="O3644" s="1">
        <v>7.08</v>
      </c>
      <c r="P3644" s="1">
        <v>0</v>
      </c>
      <c r="Q3644" s="1">
        <v>0</v>
      </c>
      <c r="R3644" s="1" t="s">
        <v>151</v>
      </c>
      <c r="S3644" s="1" t="s">
        <v>155</v>
      </c>
    </row>
    <row r="3645" spans="1:19" x14ac:dyDescent="0.3">
      <c r="A3645" t="s">
        <v>5796</v>
      </c>
      <c r="B3645" t="s">
        <v>151</v>
      </c>
      <c r="C3645" t="s">
        <v>151</v>
      </c>
      <c r="D3645" t="s">
        <v>2760</v>
      </c>
      <c r="E3645" t="s">
        <v>46</v>
      </c>
      <c r="F3645" t="str">
        <f>VLOOKUP(Tabela1[[#This Row],[Plano de contas]],TIPO!A:B,2,0)</f>
        <v>FINANCEIRA</v>
      </c>
      <c r="G3645" t="s">
        <v>177</v>
      </c>
      <c r="H3645" t="s">
        <v>159</v>
      </c>
      <c r="J3645" s="63">
        <v>46154</v>
      </c>
      <c r="K3645" s="6">
        <v>46234</v>
      </c>
      <c r="L3645" s="6" t="s">
        <v>91</v>
      </c>
      <c r="O3645" s="1">
        <v>3.13</v>
      </c>
      <c r="P3645" s="1">
        <v>0</v>
      </c>
      <c r="Q3645" s="1">
        <v>0</v>
      </c>
      <c r="R3645" s="1" t="s">
        <v>151</v>
      </c>
      <c r="S3645" s="1" t="s">
        <v>155</v>
      </c>
    </row>
    <row r="3646" spans="1:19" x14ac:dyDescent="0.3">
      <c r="A3646" t="s">
        <v>5797</v>
      </c>
      <c r="B3646" t="s">
        <v>151</v>
      </c>
      <c r="C3646" t="s">
        <v>151</v>
      </c>
      <c r="D3646" t="s">
        <v>4630</v>
      </c>
      <c r="E3646" t="s">
        <v>3559</v>
      </c>
      <c r="F3646" t="str">
        <f>VLOOKUP(Tabela1[[#This Row],[Plano de contas]],TIPO!A:B,2,0)</f>
        <v>OPERACIONAL</v>
      </c>
      <c r="G3646" t="s">
        <v>158</v>
      </c>
      <c r="H3646" t="s">
        <v>159</v>
      </c>
      <c r="J3646" s="63">
        <v>46155</v>
      </c>
      <c r="K3646" s="6">
        <v>46235</v>
      </c>
      <c r="L3646" s="6" t="s">
        <v>91</v>
      </c>
      <c r="O3646" s="1">
        <v>20</v>
      </c>
      <c r="P3646" s="1">
        <v>0</v>
      </c>
      <c r="Q3646" s="1">
        <v>0</v>
      </c>
      <c r="R3646" s="1" t="s">
        <v>151</v>
      </c>
      <c r="S3646" s="1" t="s">
        <v>155</v>
      </c>
    </row>
    <row r="3647" spans="1:19" x14ac:dyDescent="0.3">
      <c r="A3647" t="s">
        <v>5798</v>
      </c>
      <c r="B3647" t="s">
        <v>151</v>
      </c>
      <c r="C3647" t="s">
        <v>151</v>
      </c>
      <c r="D3647" t="s">
        <v>449</v>
      </c>
      <c r="E3647" t="s">
        <v>18</v>
      </c>
      <c r="F3647" t="str">
        <f>VLOOKUP(Tabela1[[#This Row],[Plano de contas]],TIPO!A:B,2,0)</f>
        <v>DESPESA C/ PESSOAL</v>
      </c>
      <c r="G3647" t="s">
        <v>158</v>
      </c>
      <c r="H3647" t="s">
        <v>159</v>
      </c>
      <c r="J3647" s="63">
        <v>46155</v>
      </c>
      <c r="K3647" s="6">
        <v>46236</v>
      </c>
      <c r="L3647" s="6" t="s">
        <v>91</v>
      </c>
      <c r="O3647" s="1">
        <v>149.96</v>
      </c>
      <c r="P3647" s="1">
        <v>0</v>
      </c>
      <c r="Q3647" s="1">
        <v>0</v>
      </c>
      <c r="R3647" s="1" t="s">
        <v>151</v>
      </c>
      <c r="S3647" s="1" t="s">
        <v>155</v>
      </c>
    </row>
    <row r="3648" spans="1:19" x14ac:dyDescent="0.3">
      <c r="A3648" t="s">
        <v>5799</v>
      </c>
      <c r="B3648" t="s">
        <v>151</v>
      </c>
      <c r="C3648" t="s">
        <v>151</v>
      </c>
      <c r="D3648" t="s">
        <v>4762</v>
      </c>
      <c r="E3648" t="s">
        <v>90</v>
      </c>
      <c r="F3648" t="str">
        <f>VLOOKUP(Tabela1[[#This Row],[Plano de contas]],TIPO!A:B,2,0)</f>
        <v>FINANCEIRA</v>
      </c>
      <c r="G3648" t="s">
        <v>158</v>
      </c>
      <c r="H3648" t="s">
        <v>159</v>
      </c>
      <c r="J3648" s="63">
        <v>46155</v>
      </c>
      <c r="K3648" s="6">
        <v>46237</v>
      </c>
      <c r="L3648" s="6" t="s">
        <v>91</v>
      </c>
      <c r="O3648" s="1">
        <v>4002.23</v>
      </c>
      <c r="P3648" s="1">
        <v>0</v>
      </c>
      <c r="Q3648" s="1">
        <v>0</v>
      </c>
      <c r="R3648" s="1" t="s">
        <v>151</v>
      </c>
      <c r="S3648" s="1" t="s">
        <v>155</v>
      </c>
    </row>
    <row r="3649" spans="1:19" x14ac:dyDescent="0.3">
      <c r="A3649" t="s">
        <v>5800</v>
      </c>
      <c r="B3649" t="s">
        <v>151</v>
      </c>
      <c r="C3649" t="s">
        <v>151</v>
      </c>
      <c r="D3649" t="s">
        <v>5801</v>
      </c>
      <c r="E3649" t="s">
        <v>3665</v>
      </c>
      <c r="F3649" t="str">
        <f>VLOOKUP(Tabela1[[#This Row],[Plano de contas]],TIPO!A:B,2,0)</f>
        <v>FORNECEDOR</v>
      </c>
      <c r="G3649" t="s">
        <v>381</v>
      </c>
      <c r="H3649" t="s">
        <v>167</v>
      </c>
      <c r="J3649" s="63">
        <v>46155</v>
      </c>
      <c r="K3649" s="6">
        <v>46238</v>
      </c>
      <c r="L3649" s="6" t="s">
        <v>91</v>
      </c>
      <c r="O3649" s="1">
        <v>118700.78</v>
      </c>
      <c r="P3649" s="1">
        <v>0</v>
      </c>
      <c r="Q3649" s="1">
        <v>0</v>
      </c>
      <c r="R3649" s="1" t="s">
        <v>151</v>
      </c>
      <c r="S3649" s="1" t="s">
        <v>155</v>
      </c>
    </row>
    <row r="3650" spans="1:19" x14ac:dyDescent="0.3">
      <c r="A3650" t="s">
        <v>5802</v>
      </c>
      <c r="B3650" t="s">
        <v>151</v>
      </c>
      <c r="C3650" t="s">
        <v>151</v>
      </c>
      <c r="D3650" t="s">
        <v>5803</v>
      </c>
      <c r="E3650" t="s">
        <v>28</v>
      </c>
      <c r="F3650" t="str">
        <f>VLOOKUP(Tabela1[[#This Row],[Plano de contas]],TIPO!A:B,2,0)</f>
        <v>DESPESA C/ PESSOAL</v>
      </c>
      <c r="G3650" t="s">
        <v>158</v>
      </c>
      <c r="H3650" t="s">
        <v>159</v>
      </c>
      <c r="J3650" s="63">
        <v>46155</v>
      </c>
      <c r="K3650" s="6">
        <v>46239</v>
      </c>
      <c r="L3650" s="6" t="s">
        <v>91</v>
      </c>
      <c r="O3650" s="1">
        <v>495</v>
      </c>
      <c r="P3650" s="1">
        <v>0</v>
      </c>
      <c r="Q3650" s="1">
        <v>0</v>
      </c>
      <c r="R3650" s="1" t="s">
        <v>151</v>
      </c>
      <c r="S3650" s="1" t="s">
        <v>155</v>
      </c>
    </row>
    <row r="3651" spans="1:19" x14ac:dyDescent="0.3">
      <c r="A3651" t="s">
        <v>5804</v>
      </c>
      <c r="B3651" t="s">
        <v>151</v>
      </c>
      <c r="C3651" t="s">
        <v>151</v>
      </c>
      <c r="D3651" t="s">
        <v>5805</v>
      </c>
      <c r="E3651" t="s">
        <v>28</v>
      </c>
      <c r="F3651" t="str">
        <f>VLOOKUP(Tabela1[[#This Row],[Plano de contas]],TIPO!A:B,2,0)</f>
        <v>DESPESA C/ PESSOAL</v>
      </c>
      <c r="G3651" t="s">
        <v>158</v>
      </c>
      <c r="H3651" t="s">
        <v>159</v>
      </c>
      <c r="J3651" s="63">
        <v>46155</v>
      </c>
      <c r="K3651" s="6">
        <v>46240</v>
      </c>
      <c r="L3651" s="6" t="s">
        <v>91</v>
      </c>
      <c r="O3651" s="1">
        <v>55</v>
      </c>
      <c r="P3651" s="1">
        <v>0</v>
      </c>
      <c r="Q3651" s="1">
        <v>0</v>
      </c>
      <c r="R3651" s="1" t="s">
        <v>151</v>
      </c>
      <c r="S3651" s="1" t="s">
        <v>155</v>
      </c>
    </row>
    <row r="3652" spans="1:19" x14ac:dyDescent="0.3">
      <c r="A3652" t="s">
        <v>5806</v>
      </c>
      <c r="B3652" t="s">
        <v>151</v>
      </c>
      <c r="C3652" t="s">
        <v>151</v>
      </c>
      <c r="D3652" t="s">
        <v>2573</v>
      </c>
      <c r="E3652" t="s">
        <v>39</v>
      </c>
      <c r="F3652" t="str">
        <f>VLOOKUP(Tabela1[[#This Row],[Plano de contas]],TIPO!A:B,2,0)</f>
        <v>FINANCEIRA</v>
      </c>
      <c r="G3652" t="s">
        <v>177</v>
      </c>
      <c r="H3652" t="s">
        <v>159</v>
      </c>
      <c r="J3652" s="63">
        <v>46155</v>
      </c>
      <c r="K3652" s="6">
        <v>46241</v>
      </c>
      <c r="L3652" s="6" t="s">
        <v>91</v>
      </c>
      <c r="O3652" s="1">
        <v>3.54</v>
      </c>
      <c r="P3652" s="1">
        <v>0</v>
      </c>
      <c r="Q3652" s="1">
        <v>0</v>
      </c>
      <c r="R3652" s="1" t="s">
        <v>151</v>
      </c>
      <c r="S3652" s="1" t="s">
        <v>155</v>
      </c>
    </row>
    <row r="3653" spans="1:19" x14ac:dyDescent="0.3">
      <c r="A3653" t="s">
        <v>5807</v>
      </c>
      <c r="B3653" t="s">
        <v>151</v>
      </c>
      <c r="C3653" t="s">
        <v>151</v>
      </c>
      <c r="D3653" t="s">
        <v>5808</v>
      </c>
      <c r="E3653" t="s">
        <v>68</v>
      </c>
      <c r="F3653" t="str">
        <f>VLOOKUP(Tabela1[[#This Row],[Plano de contas]],TIPO!A:B,2,0)</f>
        <v>OPERACIONAL</v>
      </c>
      <c r="G3653" t="s">
        <v>158</v>
      </c>
      <c r="H3653" t="s">
        <v>159</v>
      </c>
      <c r="J3653" s="63">
        <v>46155</v>
      </c>
      <c r="K3653" s="6">
        <v>46242</v>
      </c>
      <c r="L3653" s="6" t="s">
        <v>91</v>
      </c>
      <c r="O3653" s="1">
        <v>80</v>
      </c>
      <c r="P3653" s="1">
        <v>0</v>
      </c>
      <c r="Q3653" s="1">
        <v>0</v>
      </c>
      <c r="R3653" s="1" t="s">
        <v>151</v>
      </c>
      <c r="S3653" s="1" t="s">
        <v>155</v>
      </c>
    </row>
    <row r="3654" spans="1:19" x14ac:dyDescent="0.3">
      <c r="A3654" t="s">
        <v>5809</v>
      </c>
      <c r="B3654" t="s">
        <v>151</v>
      </c>
      <c r="C3654" t="s">
        <v>151</v>
      </c>
      <c r="D3654" t="s">
        <v>5810</v>
      </c>
      <c r="E3654" t="s">
        <v>14</v>
      </c>
      <c r="F3654" t="str">
        <f>VLOOKUP(Tabela1[[#This Row],[Plano de contas]],TIPO!A:B,2,0)</f>
        <v>AJUSTE DE CAIXA</v>
      </c>
      <c r="G3654" t="s">
        <v>158</v>
      </c>
      <c r="H3654" t="s">
        <v>159</v>
      </c>
      <c r="J3654" s="63">
        <v>46156</v>
      </c>
      <c r="K3654" s="6">
        <v>46243</v>
      </c>
      <c r="L3654" s="6" t="s">
        <v>91</v>
      </c>
      <c r="O3654" s="1">
        <v>800</v>
      </c>
      <c r="P3654" s="1">
        <v>0</v>
      </c>
      <c r="Q3654" s="1">
        <v>0</v>
      </c>
      <c r="R3654" s="1" t="s">
        <v>151</v>
      </c>
      <c r="S3654" s="1" t="s">
        <v>155</v>
      </c>
    </row>
    <row r="3655" spans="1:19" x14ac:dyDescent="0.3">
      <c r="A3655" t="s">
        <v>5811</v>
      </c>
      <c r="B3655" t="s">
        <v>151</v>
      </c>
      <c r="C3655" t="s">
        <v>151</v>
      </c>
      <c r="D3655" t="s">
        <v>449</v>
      </c>
      <c r="E3655" t="s">
        <v>18</v>
      </c>
      <c r="F3655" t="str">
        <f>VLOOKUP(Tabela1[[#This Row],[Plano de contas]],TIPO!A:B,2,0)</f>
        <v>DESPESA C/ PESSOAL</v>
      </c>
      <c r="G3655" t="s">
        <v>158</v>
      </c>
      <c r="H3655" t="s">
        <v>159</v>
      </c>
      <c r="J3655" s="63">
        <v>46156</v>
      </c>
      <c r="K3655" s="6">
        <v>46244</v>
      </c>
      <c r="L3655" s="6" t="s">
        <v>91</v>
      </c>
      <c r="O3655" s="1">
        <v>142.83000000000001</v>
      </c>
      <c r="P3655" s="1">
        <v>0</v>
      </c>
      <c r="Q3655" s="1">
        <v>0</v>
      </c>
      <c r="R3655" s="1" t="s">
        <v>151</v>
      </c>
      <c r="S3655" s="1" t="s">
        <v>155</v>
      </c>
    </row>
    <row r="3656" spans="1:19" x14ac:dyDescent="0.3">
      <c r="A3656" t="s">
        <v>5812</v>
      </c>
      <c r="B3656" t="s">
        <v>151</v>
      </c>
      <c r="C3656" t="s">
        <v>151</v>
      </c>
      <c r="D3656" t="s">
        <v>4077</v>
      </c>
      <c r="E3656" t="s">
        <v>83</v>
      </c>
      <c r="F3656" t="str">
        <f>VLOOKUP(Tabela1[[#This Row],[Plano de contas]],TIPO!A:B,2,0)</f>
        <v>OPERACIONAL</v>
      </c>
      <c r="G3656" t="s">
        <v>158</v>
      </c>
      <c r="H3656" t="s">
        <v>159</v>
      </c>
      <c r="J3656" s="63">
        <v>46156</v>
      </c>
      <c r="K3656" s="6">
        <v>46245</v>
      </c>
      <c r="L3656" s="6" t="s">
        <v>91</v>
      </c>
      <c r="O3656" s="1">
        <v>99.17</v>
      </c>
      <c r="P3656" s="1">
        <v>0</v>
      </c>
      <c r="Q3656" s="1">
        <v>0</v>
      </c>
      <c r="R3656" s="1" t="s">
        <v>151</v>
      </c>
      <c r="S3656" s="1" t="s">
        <v>155</v>
      </c>
    </row>
    <row r="3657" spans="1:19" x14ac:dyDescent="0.3">
      <c r="A3657" t="s">
        <v>5813</v>
      </c>
      <c r="B3657" t="s">
        <v>151</v>
      </c>
      <c r="C3657" t="s">
        <v>151</v>
      </c>
      <c r="D3657" t="s">
        <v>5814</v>
      </c>
      <c r="E3657" t="s">
        <v>46</v>
      </c>
      <c r="F3657" t="str">
        <f>VLOOKUP(Tabela1[[#This Row],[Plano de contas]],TIPO!A:B,2,0)</f>
        <v>FINANCEIRA</v>
      </c>
      <c r="G3657" t="s">
        <v>177</v>
      </c>
      <c r="H3657" t="s">
        <v>159</v>
      </c>
      <c r="J3657" s="63">
        <v>46156</v>
      </c>
      <c r="K3657" s="6">
        <v>46246</v>
      </c>
      <c r="L3657" s="6" t="s">
        <v>91</v>
      </c>
      <c r="O3657" s="1">
        <v>13.5</v>
      </c>
      <c r="P3657" s="1">
        <v>0</v>
      </c>
      <c r="Q3657" s="1">
        <v>0</v>
      </c>
      <c r="R3657" s="1" t="s">
        <v>151</v>
      </c>
      <c r="S3657" s="1" t="s">
        <v>155</v>
      </c>
    </row>
    <row r="3658" spans="1:19" x14ac:dyDescent="0.3">
      <c r="A3658" t="s">
        <v>5815</v>
      </c>
      <c r="B3658" t="s">
        <v>151</v>
      </c>
      <c r="C3658" t="s">
        <v>151</v>
      </c>
      <c r="D3658" t="s">
        <v>2573</v>
      </c>
      <c r="E3658" t="s">
        <v>39</v>
      </c>
      <c r="F3658" t="str">
        <f>VLOOKUP(Tabela1[[#This Row],[Plano de contas]],TIPO!A:B,2,0)</f>
        <v>FINANCEIRA</v>
      </c>
      <c r="G3658" t="s">
        <v>177</v>
      </c>
      <c r="H3658" t="s">
        <v>159</v>
      </c>
      <c r="J3658" s="63">
        <v>46156</v>
      </c>
      <c r="K3658" s="6">
        <v>46247</v>
      </c>
      <c r="L3658" s="6" t="s">
        <v>91</v>
      </c>
      <c r="O3658" s="1">
        <v>8.85</v>
      </c>
      <c r="P3658" s="1">
        <v>0</v>
      </c>
      <c r="Q3658" s="1">
        <v>0</v>
      </c>
      <c r="R3658" s="1" t="s">
        <v>151</v>
      </c>
      <c r="S3658" s="1" t="s">
        <v>155</v>
      </c>
    </row>
    <row r="3659" spans="1:19" x14ac:dyDescent="0.3">
      <c r="A3659" t="s">
        <v>5816</v>
      </c>
      <c r="B3659" t="s">
        <v>151</v>
      </c>
      <c r="C3659" t="s">
        <v>151</v>
      </c>
      <c r="D3659" t="s">
        <v>5817</v>
      </c>
      <c r="E3659" t="s">
        <v>21</v>
      </c>
      <c r="F3659" t="str">
        <f>VLOOKUP(Tabela1[[#This Row],[Plano de contas]],TIPO!A:B,2,0)</f>
        <v>OPERACIONAL</v>
      </c>
      <c r="G3659" t="s">
        <v>4253</v>
      </c>
      <c r="H3659" t="s">
        <v>4254</v>
      </c>
      <c r="J3659" s="63">
        <v>46157</v>
      </c>
      <c r="K3659" s="6">
        <v>46248</v>
      </c>
      <c r="L3659" s="6" t="s">
        <v>91</v>
      </c>
      <c r="O3659" s="1">
        <v>1200</v>
      </c>
      <c r="P3659" s="1">
        <v>0</v>
      </c>
      <c r="Q3659" s="1">
        <v>0</v>
      </c>
      <c r="R3659" s="1" t="s">
        <v>151</v>
      </c>
      <c r="S3659" s="1" t="s">
        <v>155</v>
      </c>
    </row>
    <row r="3660" spans="1:19" x14ac:dyDescent="0.3">
      <c r="A3660" t="s">
        <v>5818</v>
      </c>
      <c r="B3660" t="s">
        <v>151</v>
      </c>
      <c r="C3660" t="s">
        <v>151</v>
      </c>
      <c r="D3660" t="s">
        <v>449</v>
      </c>
      <c r="E3660" t="s">
        <v>18</v>
      </c>
      <c r="F3660" t="str">
        <f>VLOOKUP(Tabela1[[#This Row],[Plano de contas]],TIPO!A:B,2,0)</f>
        <v>DESPESA C/ PESSOAL</v>
      </c>
      <c r="G3660" t="s">
        <v>158</v>
      </c>
      <c r="H3660" t="s">
        <v>159</v>
      </c>
      <c r="J3660" s="63">
        <v>46157</v>
      </c>
      <c r="K3660" s="6">
        <v>46249</v>
      </c>
      <c r="L3660" s="6" t="s">
        <v>91</v>
      </c>
      <c r="O3660" s="1">
        <v>56</v>
      </c>
      <c r="P3660" s="1">
        <v>0</v>
      </c>
      <c r="Q3660" s="1">
        <v>0</v>
      </c>
      <c r="R3660" s="1" t="s">
        <v>151</v>
      </c>
      <c r="S3660" s="1" t="s">
        <v>155</v>
      </c>
    </row>
    <row r="3661" spans="1:19" x14ac:dyDescent="0.3">
      <c r="A3661" t="s">
        <v>5819</v>
      </c>
      <c r="B3661" t="s">
        <v>151</v>
      </c>
      <c r="C3661" t="s">
        <v>151</v>
      </c>
      <c r="D3661" t="s">
        <v>4630</v>
      </c>
      <c r="E3661" t="s">
        <v>3559</v>
      </c>
      <c r="F3661" t="str">
        <f>VLOOKUP(Tabela1[[#This Row],[Plano de contas]],TIPO!A:B,2,0)</f>
        <v>OPERACIONAL</v>
      </c>
      <c r="G3661" t="s">
        <v>158</v>
      </c>
      <c r="H3661" t="s">
        <v>159</v>
      </c>
      <c r="J3661" s="63">
        <v>46157</v>
      </c>
      <c r="K3661" s="6">
        <v>46250</v>
      </c>
      <c r="L3661" s="6" t="s">
        <v>91</v>
      </c>
      <c r="O3661" s="1">
        <v>20</v>
      </c>
      <c r="P3661" s="1">
        <v>0</v>
      </c>
      <c r="Q3661" s="1">
        <v>0</v>
      </c>
      <c r="R3661" s="1" t="s">
        <v>151</v>
      </c>
      <c r="S3661" s="1" t="s">
        <v>155</v>
      </c>
    </row>
    <row r="3662" spans="1:19" x14ac:dyDescent="0.3">
      <c r="A3662" t="s">
        <v>5820</v>
      </c>
      <c r="B3662" t="s">
        <v>151</v>
      </c>
      <c r="C3662" t="s">
        <v>151</v>
      </c>
      <c r="D3662" t="s">
        <v>5821</v>
      </c>
      <c r="E3662" t="s">
        <v>26</v>
      </c>
      <c r="F3662" t="str">
        <f>VLOOKUP(Tabela1[[#This Row],[Plano de contas]],TIPO!A:B,2,0)</f>
        <v>INVESTIMENTO</v>
      </c>
      <c r="G3662" t="s">
        <v>783</v>
      </c>
      <c r="H3662" t="s">
        <v>5938</v>
      </c>
      <c r="J3662" s="63">
        <v>46157</v>
      </c>
      <c r="K3662" s="6">
        <v>46251</v>
      </c>
      <c r="L3662" s="6" t="s">
        <v>91</v>
      </c>
      <c r="O3662" s="1">
        <v>25000</v>
      </c>
      <c r="P3662" s="1">
        <v>0</v>
      </c>
      <c r="Q3662" s="1">
        <v>0</v>
      </c>
      <c r="R3662" s="1" t="s">
        <v>151</v>
      </c>
      <c r="S3662" s="1" t="s">
        <v>155</v>
      </c>
    </row>
    <row r="3663" spans="1:19" x14ac:dyDescent="0.3">
      <c r="A3663" t="s">
        <v>5822</v>
      </c>
      <c r="B3663" t="s">
        <v>151</v>
      </c>
      <c r="C3663" t="s">
        <v>151</v>
      </c>
      <c r="D3663" t="s">
        <v>5823</v>
      </c>
      <c r="E3663" t="s">
        <v>39</v>
      </c>
      <c r="F3663" t="str">
        <f>VLOOKUP(Tabela1[[#This Row],[Plano de contas]],TIPO!A:B,2,0)</f>
        <v>FINANCEIRA</v>
      </c>
      <c r="G3663" t="s">
        <v>177</v>
      </c>
      <c r="H3663" t="s">
        <v>159</v>
      </c>
      <c r="J3663" s="63">
        <v>46157</v>
      </c>
      <c r="K3663" s="6">
        <v>46252</v>
      </c>
      <c r="L3663" s="6" t="s">
        <v>91</v>
      </c>
      <c r="O3663" s="1">
        <v>1.77</v>
      </c>
      <c r="P3663" s="1">
        <v>0</v>
      </c>
      <c r="Q3663" s="1">
        <v>0</v>
      </c>
      <c r="R3663" s="1" t="s">
        <v>151</v>
      </c>
      <c r="S3663" s="1" t="s">
        <v>155</v>
      </c>
    </row>
    <row r="3664" spans="1:19" x14ac:dyDescent="0.3">
      <c r="A3664" t="s">
        <v>5824</v>
      </c>
      <c r="B3664" t="s">
        <v>151</v>
      </c>
      <c r="C3664" t="s">
        <v>151</v>
      </c>
      <c r="D3664" t="s">
        <v>5825</v>
      </c>
      <c r="E3664" t="s">
        <v>3607</v>
      </c>
      <c r="F3664" t="str">
        <f>VLOOKUP(Tabela1[[#This Row],[Plano de contas]],TIPO!A:B,2,0)</f>
        <v>DESPESA C/ PESSOAL</v>
      </c>
      <c r="G3664" t="s">
        <v>158</v>
      </c>
      <c r="H3664" t="s">
        <v>159</v>
      </c>
      <c r="J3664" s="63">
        <v>46157</v>
      </c>
      <c r="K3664" s="6">
        <v>46253</v>
      </c>
      <c r="L3664" s="6" t="s">
        <v>91</v>
      </c>
      <c r="O3664" s="1">
        <v>488.3</v>
      </c>
      <c r="P3664" s="1">
        <v>0</v>
      </c>
      <c r="Q3664" s="1">
        <v>0</v>
      </c>
      <c r="R3664" s="1" t="s">
        <v>151</v>
      </c>
      <c r="S3664" s="1" t="s">
        <v>155</v>
      </c>
    </row>
    <row r="3665" spans="1:19" x14ac:dyDescent="0.3">
      <c r="A3665" t="s">
        <v>5826</v>
      </c>
      <c r="B3665" t="s">
        <v>151</v>
      </c>
      <c r="C3665" t="s">
        <v>151</v>
      </c>
      <c r="D3665" t="s">
        <v>5827</v>
      </c>
      <c r="E3665" t="s">
        <v>85</v>
      </c>
      <c r="F3665" t="str">
        <f>VLOOKUP(Tabela1[[#This Row],[Plano de contas]],TIPO!A:B,2,0)</f>
        <v>OPERACIONAL</v>
      </c>
      <c r="G3665" t="s">
        <v>213</v>
      </c>
      <c r="H3665" t="s">
        <v>159</v>
      </c>
      <c r="J3665" s="63">
        <v>46160</v>
      </c>
      <c r="K3665" s="6">
        <v>46254</v>
      </c>
      <c r="L3665" s="6" t="s">
        <v>91</v>
      </c>
      <c r="O3665" s="1">
        <v>516.53</v>
      </c>
      <c r="P3665" s="1">
        <v>0</v>
      </c>
      <c r="Q3665" s="1">
        <v>0</v>
      </c>
      <c r="R3665" s="1" t="s">
        <v>151</v>
      </c>
      <c r="S3665" s="1" t="s">
        <v>155</v>
      </c>
    </row>
    <row r="3666" spans="1:19" x14ac:dyDescent="0.3">
      <c r="A3666" t="s">
        <v>5828</v>
      </c>
      <c r="B3666" t="s">
        <v>151</v>
      </c>
      <c r="C3666" t="s">
        <v>151</v>
      </c>
      <c r="D3666" t="s">
        <v>5235</v>
      </c>
      <c r="E3666" t="s">
        <v>62</v>
      </c>
      <c r="F3666" t="str">
        <f>VLOOKUP(Tabela1[[#This Row],[Plano de contas]],TIPO!A:B,2,0)</f>
        <v>FORNECEDOR</v>
      </c>
      <c r="G3666" t="s">
        <v>158</v>
      </c>
      <c r="H3666" t="s">
        <v>159</v>
      </c>
      <c r="J3666" s="63">
        <v>46160</v>
      </c>
      <c r="K3666" s="6">
        <v>46255</v>
      </c>
      <c r="L3666" s="6" t="s">
        <v>91</v>
      </c>
      <c r="O3666" s="1">
        <v>15800</v>
      </c>
      <c r="P3666" s="1">
        <v>0</v>
      </c>
      <c r="Q3666" s="1">
        <v>0</v>
      </c>
      <c r="R3666" s="1" t="s">
        <v>151</v>
      </c>
      <c r="S3666" s="1" t="s">
        <v>155</v>
      </c>
    </row>
    <row r="3667" spans="1:19" x14ac:dyDescent="0.3">
      <c r="A3667" t="s">
        <v>5829</v>
      </c>
      <c r="B3667" t="s">
        <v>151</v>
      </c>
      <c r="C3667" t="s">
        <v>151</v>
      </c>
      <c r="D3667" t="s">
        <v>5830</v>
      </c>
      <c r="E3667" t="s">
        <v>85</v>
      </c>
      <c r="F3667" t="str">
        <f>VLOOKUP(Tabela1[[#This Row],[Plano de contas]],TIPO!A:B,2,0)</f>
        <v>OPERACIONAL</v>
      </c>
      <c r="G3667" t="s">
        <v>149</v>
      </c>
      <c r="H3667" t="s">
        <v>150</v>
      </c>
      <c r="J3667" s="63">
        <v>46160</v>
      </c>
      <c r="K3667" s="6">
        <v>46256</v>
      </c>
      <c r="L3667" s="6" t="s">
        <v>91</v>
      </c>
      <c r="O3667" s="1">
        <v>1045.55</v>
      </c>
      <c r="P3667" s="1">
        <v>0</v>
      </c>
      <c r="Q3667" s="1">
        <v>0</v>
      </c>
      <c r="R3667" s="1" t="s">
        <v>151</v>
      </c>
      <c r="S3667" s="1" t="s">
        <v>155</v>
      </c>
    </row>
    <row r="3668" spans="1:19" x14ac:dyDescent="0.3">
      <c r="A3668" t="s">
        <v>5831</v>
      </c>
      <c r="B3668" t="s">
        <v>151</v>
      </c>
      <c r="C3668" t="s">
        <v>151</v>
      </c>
      <c r="D3668" t="s">
        <v>5832</v>
      </c>
      <c r="E3668" t="s">
        <v>85</v>
      </c>
      <c r="F3668" t="str">
        <f>VLOOKUP(Tabela1[[#This Row],[Plano de contas]],TIPO!A:B,2,0)</f>
        <v>OPERACIONAL</v>
      </c>
      <c r="G3668" t="s">
        <v>149</v>
      </c>
      <c r="H3668" t="s">
        <v>150</v>
      </c>
      <c r="J3668" s="63">
        <v>46160</v>
      </c>
      <c r="K3668" s="6">
        <v>46257</v>
      </c>
      <c r="L3668" s="6" t="s">
        <v>91</v>
      </c>
      <c r="O3668" s="1">
        <v>397.5</v>
      </c>
      <c r="P3668" s="1">
        <v>0</v>
      </c>
      <c r="Q3668" s="1">
        <v>0</v>
      </c>
      <c r="R3668" s="1" t="s">
        <v>151</v>
      </c>
      <c r="S3668" s="1" t="s">
        <v>155</v>
      </c>
    </row>
    <row r="3669" spans="1:19" x14ac:dyDescent="0.3">
      <c r="A3669" t="s">
        <v>5833</v>
      </c>
      <c r="B3669" t="s">
        <v>151</v>
      </c>
      <c r="C3669" t="s">
        <v>151</v>
      </c>
      <c r="D3669" t="s">
        <v>4630</v>
      </c>
      <c r="E3669" t="s">
        <v>3559</v>
      </c>
      <c r="F3669" t="str">
        <f>VLOOKUP(Tabela1[[#This Row],[Plano de contas]],TIPO!A:B,2,0)</f>
        <v>OPERACIONAL</v>
      </c>
      <c r="G3669" t="s">
        <v>158</v>
      </c>
      <c r="H3669" t="s">
        <v>159</v>
      </c>
      <c r="J3669" s="63">
        <v>46160</v>
      </c>
      <c r="K3669" s="6">
        <v>46258</v>
      </c>
      <c r="L3669" s="6" t="s">
        <v>91</v>
      </c>
      <c r="O3669" s="1">
        <v>20</v>
      </c>
      <c r="P3669" s="1">
        <v>0</v>
      </c>
      <c r="Q3669" s="1">
        <v>0</v>
      </c>
      <c r="R3669" s="1" t="s">
        <v>151</v>
      </c>
      <c r="S3669" s="1" t="s">
        <v>155</v>
      </c>
    </row>
    <row r="3670" spans="1:19" x14ac:dyDescent="0.3">
      <c r="A3670" t="s">
        <v>5834</v>
      </c>
      <c r="B3670" t="s">
        <v>151</v>
      </c>
      <c r="C3670" t="s">
        <v>151</v>
      </c>
      <c r="D3670" t="s">
        <v>5345</v>
      </c>
      <c r="E3670" t="s">
        <v>30</v>
      </c>
      <c r="F3670" t="str">
        <f>VLOOKUP(Tabela1[[#This Row],[Plano de contas]],TIPO!A:B,2,0)</f>
        <v>OPERACIONAL</v>
      </c>
      <c r="G3670" t="s">
        <v>158</v>
      </c>
      <c r="H3670" t="s">
        <v>159</v>
      </c>
      <c r="J3670" s="63">
        <v>46160</v>
      </c>
      <c r="K3670" s="6">
        <v>46259</v>
      </c>
      <c r="L3670" s="6" t="s">
        <v>91</v>
      </c>
      <c r="O3670" s="1">
        <v>150</v>
      </c>
      <c r="P3670" s="1">
        <v>0</v>
      </c>
      <c r="Q3670" s="1">
        <v>0</v>
      </c>
      <c r="R3670" s="1" t="s">
        <v>151</v>
      </c>
      <c r="S3670" s="1" t="s">
        <v>155</v>
      </c>
    </row>
    <row r="3671" spans="1:19" x14ac:dyDescent="0.3">
      <c r="A3671" t="s">
        <v>5835</v>
      </c>
      <c r="B3671" t="s">
        <v>151</v>
      </c>
      <c r="C3671" t="s">
        <v>151</v>
      </c>
      <c r="D3671" t="s">
        <v>5305</v>
      </c>
      <c r="E3671" t="s">
        <v>32</v>
      </c>
      <c r="F3671" t="str">
        <f>VLOOKUP(Tabela1[[#This Row],[Plano de contas]],TIPO!A:B,2,0)</f>
        <v>DESPESA C/ PESSOAL</v>
      </c>
      <c r="G3671" t="s">
        <v>158</v>
      </c>
      <c r="H3671" t="s">
        <v>159</v>
      </c>
      <c r="J3671" s="63">
        <v>46160</v>
      </c>
      <c r="K3671" s="6">
        <v>46260</v>
      </c>
      <c r="L3671" s="6" t="s">
        <v>91</v>
      </c>
      <c r="O3671" s="1">
        <v>1270</v>
      </c>
      <c r="P3671" s="1">
        <v>0</v>
      </c>
      <c r="Q3671" s="1">
        <v>0</v>
      </c>
      <c r="R3671" s="1" t="s">
        <v>151</v>
      </c>
      <c r="S3671" s="1" t="s">
        <v>155</v>
      </c>
    </row>
    <row r="3672" spans="1:19" x14ac:dyDescent="0.3">
      <c r="A3672" t="s">
        <v>5836</v>
      </c>
      <c r="B3672" t="s">
        <v>151</v>
      </c>
      <c r="C3672" t="s">
        <v>151</v>
      </c>
      <c r="D3672" t="s">
        <v>5837</v>
      </c>
      <c r="E3672" t="s">
        <v>14</v>
      </c>
      <c r="F3672" t="str">
        <f>VLOOKUP(Tabela1[[#This Row],[Plano de contas]],TIPO!A:B,2,0)</f>
        <v>AJUSTE DE CAIXA</v>
      </c>
      <c r="G3672" t="s">
        <v>177</v>
      </c>
      <c r="H3672" t="s">
        <v>167</v>
      </c>
      <c r="J3672" s="63">
        <v>46160</v>
      </c>
      <c r="K3672" s="6">
        <v>46261</v>
      </c>
      <c r="L3672" s="6" t="s">
        <v>91</v>
      </c>
      <c r="O3672" s="1">
        <v>494.12</v>
      </c>
      <c r="P3672" s="1">
        <v>0</v>
      </c>
      <c r="Q3672" s="1">
        <v>0</v>
      </c>
      <c r="R3672" s="1" t="s">
        <v>151</v>
      </c>
      <c r="S3672" s="1" t="s">
        <v>155</v>
      </c>
    </row>
    <row r="3673" spans="1:19" x14ac:dyDescent="0.3">
      <c r="A3673" t="s">
        <v>5838</v>
      </c>
      <c r="B3673" t="s">
        <v>151</v>
      </c>
      <c r="C3673" t="s">
        <v>151</v>
      </c>
      <c r="D3673" t="s">
        <v>2760</v>
      </c>
      <c r="E3673" t="s">
        <v>46</v>
      </c>
      <c r="F3673" t="str">
        <f>VLOOKUP(Tabela1[[#This Row],[Plano de contas]],TIPO!A:B,2,0)</f>
        <v>FINANCEIRA</v>
      </c>
      <c r="G3673" t="s">
        <v>177</v>
      </c>
      <c r="H3673" t="s">
        <v>167</v>
      </c>
      <c r="J3673" s="63">
        <v>46160</v>
      </c>
      <c r="K3673" s="6">
        <v>46262</v>
      </c>
      <c r="L3673" s="6" t="s">
        <v>91</v>
      </c>
      <c r="O3673" s="1">
        <v>5.94</v>
      </c>
      <c r="P3673" s="1">
        <v>0</v>
      </c>
      <c r="Q3673" s="1">
        <v>0</v>
      </c>
      <c r="R3673" s="1" t="s">
        <v>151</v>
      </c>
      <c r="S3673" s="1" t="s">
        <v>155</v>
      </c>
    </row>
    <row r="3674" spans="1:19" x14ac:dyDescent="0.3">
      <c r="A3674" t="s">
        <v>5839</v>
      </c>
      <c r="B3674" t="s">
        <v>151</v>
      </c>
      <c r="C3674" t="s">
        <v>151</v>
      </c>
      <c r="D3674" t="s">
        <v>2573</v>
      </c>
      <c r="E3674" t="s">
        <v>39</v>
      </c>
      <c r="F3674" t="str">
        <f>VLOOKUP(Tabela1[[#This Row],[Plano de contas]],TIPO!A:B,2,0)</f>
        <v>FINANCEIRA</v>
      </c>
      <c r="G3674" t="s">
        <v>177</v>
      </c>
      <c r="H3674" t="s">
        <v>159</v>
      </c>
      <c r="J3674" s="63">
        <v>46160</v>
      </c>
      <c r="K3674" s="6">
        <v>46263</v>
      </c>
      <c r="L3674" s="6" t="s">
        <v>91</v>
      </c>
      <c r="O3674" s="1">
        <v>3.54</v>
      </c>
      <c r="P3674" s="1">
        <v>0</v>
      </c>
      <c r="Q3674" s="1">
        <v>0</v>
      </c>
      <c r="R3674" s="1" t="s">
        <v>151</v>
      </c>
      <c r="S3674" s="1" t="s">
        <v>155</v>
      </c>
    </row>
    <row r="3675" spans="1:19" x14ac:dyDescent="0.3">
      <c r="A3675" t="s">
        <v>5840</v>
      </c>
      <c r="B3675" t="s">
        <v>151</v>
      </c>
      <c r="C3675" t="s">
        <v>151</v>
      </c>
      <c r="D3675" t="s">
        <v>2760</v>
      </c>
      <c r="E3675" t="s">
        <v>46</v>
      </c>
      <c r="F3675" t="str">
        <f>VLOOKUP(Tabela1[[#This Row],[Plano de contas]],TIPO!A:B,2,0)</f>
        <v>FINANCEIRA</v>
      </c>
      <c r="G3675" t="s">
        <v>177</v>
      </c>
      <c r="H3675" t="s">
        <v>159</v>
      </c>
      <c r="J3675" s="63">
        <v>46160</v>
      </c>
      <c r="K3675" s="6">
        <v>46264</v>
      </c>
      <c r="L3675" s="6" t="s">
        <v>91</v>
      </c>
      <c r="O3675" s="1">
        <v>3.13</v>
      </c>
      <c r="P3675" s="1">
        <v>0</v>
      </c>
      <c r="Q3675" s="1">
        <v>0</v>
      </c>
      <c r="R3675" s="1" t="s">
        <v>151</v>
      </c>
      <c r="S3675" s="1" t="s">
        <v>155</v>
      </c>
    </row>
    <row r="3676" spans="1:19" x14ac:dyDescent="0.3">
      <c r="A3676" t="s">
        <v>5841</v>
      </c>
      <c r="B3676" t="s">
        <v>151</v>
      </c>
      <c r="C3676" t="s">
        <v>151</v>
      </c>
      <c r="D3676" t="s">
        <v>1383</v>
      </c>
      <c r="E3676" t="s">
        <v>50</v>
      </c>
      <c r="F3676" t="str">
        <f>VLOOKUP(Tabela1[[#This Row],[Plano de contas]],TIPO!A:B,2,0)</f>
        <v>EMPRÉSTIMOS</v>
      </c>
      <c r="G3676" t="s">
        <v>177</v>
      </c>
      <c r="H3676" t="s">
        <v>167</v>
      </c>
      <c r="J3676" s="63">
        <v>46161</v>
      </c>
      <c r="K3676" s="6">
        <v>46265</v>
      </c>
      <c r="L3676" s="6" t="s">
        <v>91</v>
      </c>
      <c r="O3676" s="1">
        <v>1005.51</v>
      </c>
      <c r="P3676" s="1">
        <v>0</v>
      </c>
      <c r="Q3676" s="1">
        <v>0</v>
      </c>
      <c r="R3676" s="1" t="s">
        <v>151</v>
      </c>
      <c r="S3676" s="1" t="s">
        <v>155</v>
      </c>
    </row>
    <row r="3677" spans="1:19" x14ac:dyDescent="0.3">
      <c r="A3677" t="s">
        <v>5842</v>
      </c>
      <c r="B3677" t="s">
        <v>151</v>
      </c>
      <c r="C3677" t="s">
        <v>151</v>
      </c>
      <c r="D3677" t="s">
        <v>4630</v>
      </c>
      <c r="E3677" t="s">
        <v>3559</v>
      </c>
      <c r="F3677" t="str">
        <f>VLOOKUP(Tabela1[[#This Row],[Plano de contas]],TIPO!A:B,2,0)</f>
        <v>OPERACIONAL</v>
      </c>
      <c r="G3677" t="s">
        <v>158</v>
      </c>
      <c r="H3677" t="s">
        <v>159</v>
      </c>
      <c r="J3677" s="63">
        <v>46161</v>
      </c>
      <c r="K3677" s="6">
        <v>46266</v>
      </c>
      <c r="L3677" s="6" t="s">
        <v>91</v>
      </c>
      <c r="O3677" s="1">
        <v>50</v>
      </c>
      <c r="P3677" s="1">
        <v>0</v>
      </c>
      <c r="Q3677" s="1">
        <v>0</v>
      </c>
      <c r="R3677" s="1" t="s">
        <v>151</v>
      </c>
      <c r="S3677" s="1" t="s">
        <v>155</v>
      </c>
    </row>
    <row r="3678" spans="1:19" x14ac:dyDescent="0.3">
      <c r="A3678" t="s">
        <v>5843</v>
      </c>
      <c r="B3678" t="s">
        <v>151</v>
      </c>
      <c r="C3678" t="s">
        <v>151</v>
      </c>
      <c r="D3678" t="s">
        <v>449</v>
      </c>
      <c r="E3678" t="s">
        <v>18</v>
      </c>
      <c r="F3678" t="str">
        <f>VLOOKUP(Tabela1[[#This Row],[Plano de contas]],TIPO!A:B,2,0)</f>
        <v>DESPESA C/ PESSOAL</v>
      </c>
      <c r="G3678" t="s">
        <v>158</v>
      </c>
      <c r="H3678" t="s">
        <v>159</v>
      </c>
      <c r="J3678" s="63">
        <v>46161</v>
      </c>
      <c r="K3678" s="6">
        <v>46267</v>
      </c>
      <c r="L3678" s="6" t="s">
        <v>91</v>
      </c>
      <c r="O3678" s="1">
        <v>218.67</v>
      </c>
      <c r="P3678" s="1">
        <v>0</v>
      </c>
      <c r="Q3678" s="1">
        <v>0</v>
      </c>
      <c r="R3678" s="1" t="s">
        <v>151</v>
      </c>
      <c r="S3678" s="1" t="s">
        <v>155</v>
      </c>
    </row>
    <row r="3679" spans="1:19" x14ac:dyDescent="0.3">
      <c r="A3679" t="s">
        <v>5844</v>
      </c>
      <c r="B3679" t="s">
        <v>151</v>
      </c>
      <c r="C3679" t="s">
        <v>151</v>
      </c>
      <c r="D3679" t="s">
        <v>3585</v>
      </c>
      <c r="E3679" t="s">
        <v>3607</v>
      </c>
      <c r="F3679" t="str">
        <f>VLOOKUP(Tabela1[[#This Row],[Plano de contas]],TIPO!A:B,2,0)</f>
        <v>DESPESA C/ PESSOAL</v>
      </c>
      <c r="G3679" t="s">
        <v>158</v>
      </c>
      <c r="H3679" t="s">
        <v>159</v>
      </c>
      <c r="J3679" s="63">
        <v>46161</v>
      </c>
      <c r="K3679" s="6">
        <v>46268</v>
      </c>
      <c r="L3679" s="6" t="s">
        <v>91</v>
      </c>
      <c r="O3679" s="1">
        <v>737</v>
      </c>
      <c r="P3679" s="1">
        <v>0</v>
      </c>
      <c r="Q3679" s="1">
        <v>0</v>
      </c>
      <c r="R3679" s="1" t="s">
        <v>151</v>
      </c>
      <c r="S3679" s="1" t="s">
        <v>155</v>
      </c>
    </row>
    <row r="3680" spans="1:19" x14ac:dyDescent="0.3">
      <c r="A3680" t="s">
        <v>5845</v>
      </c>
      <c r="B3680" t="s">
        <v>151</v>
      </c>
      <c r="C3680" t="s">
        <v>151</v>
      </c>
      <c r="D3680" t="s">
        <v>3360</v>
      </c>
      <c r="E3680" t="s">
        <v>87</v>
      </c>
      <c r="F3680" t="str">
        <f>VLOOKUP(Tabela1[[#This Row],[Plano de contas]],TIPO!A:B,2,0)</f>
        <v>OPERACIONAL</v>
      </c>
      <c r="G3680" t="s">
        <v>158</v>
      </c>
      <c r="H3680" t="s">
        <v>159</v>
      </c>
      <c r="J3680" s="63">
        <v>46161</v>
      </c>
      <c r="K3680" s="6">
        <v>46269</v>
      </c>
      <c r="L3680" s="6" t="s">
        <v>91</v>
      </c>
      <c r="O3680" s="1">
        <v>50</v>
      </c>
      <c r="P3680" s="1">
        <v>0</v>
      </c>
      <c r="Q3680" s="1">
        <v>0</v>
      </c>
      <c r="R3680" s="1" t="s">
        <v>151</v>
      </c>
      <c r="S3680" s="1" t="s">
        <v>155</v>
      </c>
    </row>
    <row r="3681" spans="1:19" x14ac:dyDescent="0.3">
      <c r="A3681" t="s">
        <v>5846</v>
      </c>
      <c r="B3681" t="s">
        <v>151</v>
      </c>
      <c r="C3681" t="s">
        <v>151</v>
      </c>
      <c r="D3681" t="s">
        <v>2573</v>
      </c>
      <c r="E3681" t="s">
        <v>39</v>
      </c>
      <c r="F3681" t="str">
        <f>VLOOKUP(Tabela1[[#This Row],[Plano de contas]],TIPO!A:B,2,0)</f>
        <v>FINANCEIRA</v>
      </c>
      <c r="G3681" t="s">
        <v>177</v>
      </c>
      <c r="H3681" t="s">
        <v>159</v>
      </c>
      <c r="J3681" s="63">
        <v>46161</v>
      </c>
      <c r="K3681" s="6">
        <v>46270</v>
      </c>
      <c r="L3681" s="6" t="s">
        <v>91</v>
      </c>
      <c r="O3681" s="1">
        <v>7.08</v>
      </c>
      <c r="P3681" s="1">
        <v>0</v>
      </c>
      <c r="Q3681" s="1">
        <v>0</v>
      </c>
      <c r="R3681" s="1" t="s">
        <v>151</v>
      </c>
      <c r="S3681" s="1" t="s">
        <v>155</v>
      </c>
    </row>
    <row r="3682" spans="1:19" x14ac:dyDescent="0.3">
      <c r="A3682" t="s">
        <v>5847</v>
      </c>
      <c r="B3682" t="s">
        <v>151</v>
      </c>
      <c r="C3682" t="s">
        <v>151</v>
      </c>
      <c r="D3682" t="s">
        <v>5848</v>
      </c>
      <c r="E3682" t="s">
        <v>5849</v>
      </c>
      <c r="F3682" t="e">
        <f>VLOOKUP(Tabela1[[#This Row],[Plano de contas]],TIPO!A:B,2,0)</f>
        <v>#N/A</v>
      </c>
      <c r="G3682" t="s">
        <v>158</v>
      </c>
      <c r="H3682" t="s">
        <v>159</v>
      </c>
      <c r="J3682" s="63">
        <v>46161</v>
      </c>
      <c r="K3682" s="6">
        <v>46271</v>
      </c>
      <c r="L3682" s="6" t="s">
        <v>91</v>
      </c>
      <c r="O3682" s="1">
        <v>5805.55</v>
      </c>
      <c r="P3682" s="1">
        <v>0</v>
      </c>
      <c r="Q3682" s="1">
        <v>0</v>
      </c>
      <c r="R3682" s="1" t="s">
        <v>151</v>
      </c>
      <c r="S3682" s="1" t="s">
        <v>155</v>
      </c>
    </row>
    <row r="3683" spans="1:19" x14ac:dyDescent="0.3">
      <c r="A3683" t="s">
        <v>5850</v>
      </c>
      <c r="B3683" t="s">
        <v>151</v>
      </c>
      <c r="C3683" t="s">
        <v>151</v>
      </c>
      <c r="D3683" t="s">
        <v>5851</v>
      </c>
      <c r="E3683" t="s">
        <v>5849</v>
      </c>
      <c r="F3683" t="e">
        <f>VLOOKUP(Tabela1[[#This Row],[Plano de contas]],TIPO!A:B,2,0)</f>
        <v>#N/A</v>
      </c>
      <c r="G3683" t="s">
        <v>158</v>
      </c>
      <c r="H3683" t="s">
        <v>159</v>
      </c>
      <c r="J3683" s="63">
        <v>46161</v>
      </c>
      <c r="K3683" s="6">
        <v>46272</v>
      </c>
      <c r="L3683" s="6" t="s">
        <v>91</v>
      </c>
      <c r="O3683" s="1">
        <v>5594.68</v>
      </c>
      <c r="P3683" s="1">
        <v>0</v>
      </c>
      <c r="Q3683" s="1">
        <v>0</v>
      </c>
      <c r="R3683" s="1" t="s">
        <v>151</v>
      </c>
      <c r="S3683" s="1" t="s">
        <v>155</v>
      </c>
    </row>
    <row r="3684" spans="1:19" x14ac:dyDescent="0.3">
      <c r="A3684" t="s">
        <v>5852</v>
      </c>
      <c r="B3684" t="s">
        <v>151</v>
      </c>
      <c r="C3684" t="s">
        <v>151</v>
      </c>
      <c r="D3684" t="s">
        <v>1418</v>
      </c>
      <c r="E3684" t="s">
        <v>50</v>
      </c>
      <c r="F3684" t="str">
        <f>VLOOKUP(Tabela1[[#This Row],[Plano de contas]],TIPO!A:B,2,0)</f>
        <v>EMPRÉSTIMOS</v>
      </c>
      <c r="G3684" t="s">
        <v>177</v>
      </c>
      <c r="H3684" t="s">
        <v>167</v>
      </c>
      <c r="J3684" s="63">
        <v>46162</v>
      </c>
      <c r="K3684" s="6">
        <v>46273</v>
      </c>
      <c r="L3684" s="6" t="s">
        <v>91</v>
      </c>
      <c r="O3684" s="1">
        <v>56948.89</v>
      </c>
      <c r="P3684" s="1">
        <v>0</v>
      </c>
      <c r="Q3684" s="1">
        <v>0</v>
      </c>
      <c r="R3684" s="1" t="s">
        <v>151</v>
      </c>
      <c r="S3684" s="1" t="s">
        <v>155</v>
      </c>
    </row>
    <row r="3685" spans="1:19" x14ac:dyDescent="0.3">
      <c r="A3685" t="s">
        <v>5853</v>
      </c>
      <c r="B3685" t="s">
        <v>151</v>
      </c>
      <c r="C3685" t="s">
        <v>151</v>
      </c>
      <c r="D3685" t="s">
        <v>1342</v>
      </c>
      <c r="E3685" t="s">
        <v>48</v>
      </c>
      <c r="F3685" t="str">
        <f>VLOOKUP(Tabela1[[#This Row],[Plano de contas]],TIPO!A:B,2,0)</f>
        <v>OPERACIONAL</v>
      </c>
      <c r="G3685" t="s">
        <v>158</v>
      </c>
      <c r="H3685" t="s">
        <v>159</v>
      </c>
      <c r="J3685" s="63">
        <v>46162</v>
      </c>
      <c r="K3685" s="6">
        <v>46274</v>
      </c>
      <c r="L3685" s="6" t="s">
        <v>91</v>
      </c>
      <c r="O3685" s="1">
        <v>1000</v>
      </c>
      <c r="P3685" s="1">
        <v>0</v>
      </c>
      <c r="Q3685" s="1">
        <v>0</v>
      </c>
      <c r="R3685" s="1" t="s">
        <v>151</v>
      </c>
      <c r="S3685" s="1" t="s">
        <v>155</v>
      </c>
    </row>
    <row r="3686" spans="1:19" x14ac:dyDescent="0.3">
      <c r="A3686" t="s">
        <v>5854</v>
      </c>
      <c r="B3686" t="s">
        <v>151</v>
      </c>
      <c r="C3686" t="s">
        <v>151</v>
      </c>
      <c r="D3686" t="s">
        <v>4630</v>
      </c>
      <c r="E3686" t="s">
        <v>3559</v>
      </c>
      <c r="F3686" t="str">
        <f>VLOOKUP(Tabela1[[#This Row],[Plano de contas]],TIPO!A:B,2,0)</f>
        <v>OPERACIONAL</v>
      </c>
      <c r="G3686" t="s">
        <v>158</v>
      </c>
      <c r="H3686" t="s">
        <v>159</v>
      </c>
      <c r="J3686" s="63">
        <v>46162</v>
      </c>
      <c r="K3686" s="6">
        <v>46275</v>
      </c>
      <c r="L3686" s="6" t="s">
        <v>91</v>
      </c>
      <c r="O3686" s="1">
        <v>20</v>
      </c>
      <c r="P3686" s="1">
        <v>0</v>
      </c>
      <c r="Q3686" s="1">
        <v>0</v>
      </c>
      <c r="R3686" s="1" t="s">
        <v>151</v>
      </c>
      <c r="S3686" s="1" t="s">
        <v>155</v>
      </c>
    </row>
    <row r="3687" spans="1:19" x14ac:dyDescent="0.3">
      <c r="A3687" t="s">
        <v>5855</v>
      </c>
      <c r="B3687" t="s">
        <v>151</v>
      </c>
      <c r="C3687" t="s">
        <v>151</v>
      </c>
      <c r="D3687" t="s">
        <v>449</v>
      </c>
      <c r="E3687" t="s">
        <v>18</v>
      </c>
      <c r="F3687" t="str">
        <f>VLOOKUP(Tabela1[[#This Row],[Plano de contas]],TIPO!A:B,2,0)</f>
        <v>DESPESA C/ PESSOAL</v>
      </c>
      <c r="G3687" t="s">
        <v>158</v>
      </c>
      <c r="H3687" t="s">
        <v>159</v>
      </c>
      <c r="J3687" s="63">
        <v>46162</v>
      </c>
      <c r="K3687" s="6">
        <v>46276</v>
      </c>
      <c r="L3687" s="6" t="s">
        <v>91</v>
      </c>
      <c r="O3687" s="1">
        <v>59.8</v>
      </c>
      <c r="P3687" s="1">
        <v>0</v>
      </c>
      <c r="Q3687" s="1">
        <v>0</v>
      </c>
      <c r="R3687" s="1" t="s">
        <v>151</v>
      </c>
      <c r="S3687" s="1" t="s">
        <v>155</v>
      </c>
    </row>
    <row r="3688" spans="1:19" x14ac:dyDescent="0.3">
      <c r="A3688" t="s">
        <v>5856</v>
      </c>
      <c r="B3688" t="s">
        <v>151</v>
      </c>
      <c r="C3688" t="s">
        <v>151</v>
      </c>
      <c r="D3688" t="s">
        <v>5857</v>
      </c>
      <c r="E3688" t="s">
        <v>70</v>
      </c>
      <c r="F3688" t="str">
        <f>VLOOKUP(Tabela1[[#This Row],[Plano de contas]],TIPO!A:B,2,0)</f>
        <v>IMPOSTOS</v>
      </c>
      <c r="G3688" t="s">
        <v>213</v>
      </c>
      <c r="H3688" t="s">
        <v>159</v>
      </c>
      <c r="J3688" s="63">
        <v>46162</v>
      </c>
      <c r="K3688" s="6">
        <v>46277</v>
      </c>
      <c r="L3688" s="6" t="s">
        <v>91</v>
      </c>
      <c r="O3688" s="1">
        <v>285.99</v>
      </c>
      <c r="P3688" s="1">
        <v>0</v>
      </c>
      <c r="Q3688" s="1">
        <v>0</v>
      </c>
      <c r="R3688" s="1" t="s">
        <v>151</v>
      </c>
      <c r="S3688" s="1" t="s">
        <v>155</v>
      </c>
    </row>
    <row r="3689" spans="1:19" x14ac:dyDescent="0.3">
      <c r="A3689" t="s">
        <v>5858</v>
      </c>
      <c r="B3689" t="s">
        <v>151</v>
      </c>
      <c r="C3689" t="s">
        <v>151</v>
      </c>
      <c r="D3689" t="s">
        <v>5859</v>
      </c>
      <c r="E3689" t="s">
        <v>70</v>
      </c>
      <c r="F3689" t="str">
        <f>VLOOKUP(Tabela1[[#This Row],[Plano de contas]],TIPO!A:B,2,0)</f>
        <v>IMPOSTOS</v>
      </c>
      <c r="G3689" t="s">
        <v>213</v>
      </c>
      <c r="H3689" t="s">
        <v>4254</v>
      </c>
      <c r="J3689" s="63">
        <v>46162</v>
      </c>
      <c r="K3689" s="6">
        <v>46278</v>
      </c>
      <c r="L3689" s="6" t="s">
        <v>91</v>
      </c>
      <c r="O3689" s="1">
        <v>6716.17</v>
      </c>
      <c r="P3689" s="1">
        <v>0</v>
      </c>
      <c r="Q3689" s="1">
        <v>0</v>
      </c>
      <c r="R3689" s="1" t="s">
        <v>151</v>
      </c>
      <c r="S3689" s="1" t="s">
        <v>155</v>
      </c>
    </row>
    <row r="3690" spans="1:19" x14ac:dyDescent="0.3">
      <c r="A3690" t="s">
        <v>5860</v>
      </c>
      <c r="B3690" t="s">
        <v>151</v>
      </c>
      <c r="C3690" t="s">
        <v>151</v>
      </c>
      <c r="D3690" t="s">
        <v>1477</v>
      </c>
      <c r="E3690" t="s">
        <v>55</v>
      </c>
      <c r="F3690" t="str">
        <f>VLOOKUP(Tabela1[[#This Row],[Plano de contas]],TIPO!A:B,2,0)</f>
        <v>DESPESA C/ PESSOAL</v>
      </c>
      <c r="G3690" t="s">
        <v>213</v>
      </c>
      <c r="H3690" t="s">
        <v>150</v>
      </c>
      <c r="J3690" s="63">
        <v>46162</v>
      </c>
      <c r="K3690" s="6">
        <v>46279</v>
      </c>
      <c r="L3690" s="6" t="s">
        <v>91</v>
      </c>
      <c r="O3690" s="1">
        <v>554.59</v>
      </c>
      <c r="P3690" s="1">
        <v>0</v>
      </c>
      <c r="Q3690" s="1">
        <v>0</v>
      </c>
      <c r="R3690" s="1" t="s">
        <v>151</v>
      </c>
      <c r="S3690" s="1" t="s">
        <v>155</v>
      </c>
    </row>
    <row r="3691" spans="1:19" x14ac:dyDescent="0.3">
      <c r="A3691" t="s">
        <v>5861</v>
      </c>
      <c r="B3691" t="s">
        <v>151</v>
      </c>
      <c r="C3691" t="s">
        <v>151</v>
      </c>
      <c r="D3691" t="s">
        <v>1464</v>
      </c>
      <c r="E3691" t="s">
        <v>54</v>
      </c>
      <c r="F3691" t="str">
        <f>VLOOKUP(Tabela1[[#This Row],[Plano de contas]],TIPO!A:B,2,0)</f>
        <v>DESPESA C/ PESSOAL</v>
      </c>
      <c r="G3691" t="s">
        <v>213</v>
      </c>
      <c r="H3691" t="s">
        <v>150</v>
      </c>
      <c r="J3691" s="63">
        <v>46162</v>
      </c>
      <c r="K3691" s="6">
        <v>46280</v>
      </c>
      <c r="L3691" s="6" t="s">
        <v>91</v>
      </c>
      <c r="O3691" s="1">
        <v>576.25</v>
      </c>
      <c r="P3691" s="1">
        <v>0</v>
      </c>
      <c r="Q3691" s="1">
        <v>0</v>
      </c>
      <c r="R3691" s="1" t="s">
        <v>151</v>
      </c>
      <c r="S3691" s="1" t="s">
        <v>155</v>
      </c>
    </row>
    <row r="3692" spans="1:19" x14ac:dyDescent="0.3">
      <c r="A3692" t="s">
        <v>5862</v>
      </c>
      <c r="B3692" t="s">
        <v>151</v>
      </c>
      <c r="C3692" t="s">
        <v>151</v>
      </c>
      <c r="D3692" t="s">
        <v>5863</v>
      </c>
      <c r="E3692" t="s">
        <v>70</v>
      </c>
      <c r="F3692" t="str">
        <f>VLOOKUP(Tabela1[[#This Row],[Plano de contas]],TIPO!A:B,2,0)</f>
        <v>IMPOSTOS</v>
      </c>
      <c r="G3692" t="s">
        <v>213</v>
      </c>
      <c r="H3692" t="s">
        <v>150</v>
      </c>
      <c r="J3692" s="63">
        <v>46162</v>
      </c>
      <c r="K3692" s="6">
        <v>46281</v>
      </c>
      <c r="L3692" s="6" t="s">
        <v>91</v>
      </c>
      <c r="O3692" s="1">
        <v>10011.68</v>
      </c>
      <c r="P3692" s="1">
        <v>0</v>
      </c>
      <c r="Q3692" s="1">
        <v>0</v>
      </c>
      <c r="R3692" s="1" t="s">
        <v>151</v>
      </c>
      <c r="S3692" s="1" t="s">
        <v>155</v>
      </c>
    </row>
    <row r="3693" spans="1:19" x14ac:dyDescent="0.3">
      <c r="A3693" t="s">
        <v>5864</v>
      </c>
      <c r="B3693" t="s">
        <v>151</v>
      </c>
      <c r="C3693" t="s">
        <v>151</v>
      </c>
      <c r="D3693" t="s">
        <v>5865</v>
      </c>
      <c r="E3693" t="s">
        <v>82</v>
      </c>
      <c r="F3693" t="str">
        <f>VLOOKUP(Tabela1[[#This Row],[Plano de contas]],TIPO!A:B,2,0)</f>
        <v>OPERACIONAL</v>
      </c>
      <c r="G3693" t="s">
        <v>158</v>
      </c>
      <c r="H3693" t="s">
        <v>159</v>
      </c>
      <c r="J3693" s="63">
        <v>46162</v>
      </c>
      <c r="K3693" s="6">
        <v>46282</v>
      </c>
      <c r="L3693" s="6" t="s">
        <v>91</v>
      </c>
      <c r="O3693" s="1">
        <v>1438.63</v>
      </c>
      <c r="P3693" s="1">
        <v>0</v>
      </c>
      <c r="Q3693" s="1">
        <v>0</v>
      </c>
      <c r="R3693" s="1" t="s">
        <v>151</v>
      </c>
      <c r="S3693" s="1" t="s">
        <v>155</v>
      </c>
    </row>
    <row r="3694" spans="1:19" x14ac:dyDescent="0.3">
      <c r="A3694" t="s">
        <v>5866</v>
      </c>
      <c r="B3694" t="s">
        <v>151</v>
      </c>
      <c r="C3694" t="s">
        <v>151</v>
      </c>
      <c r="D3694" t="s">
        <v>5867</v>
      </c>
      <c r="E3694" t="s">
        <v>31</v>
      </c>
      <c r="F3694" t="str">
        <f>VLOOKUP(Tabela1[[#This Row],[Plano de contas]],TIPO!A:B,2,0)</f>
        <v>FORNECEDOR</v>
      </c>
      <c r="G3694" t="s">
        <v>213</v>
      </c>
      <c r="H3694" t="s">
        <v>150</v>
      </c>
      <c r="J3694" s="63">
        <v>46163</v>
      </c>
      <c r="K3694" s="6">
        <v>46283</v>
      </c>
      <c r="L3694" s="6" t="s">
        <v>91</v>
      </c>
      <c r="O3694" s="1">
        <v>6850</v>
      </c>
      <c r="P3694" s="1">
        <v>0</v>
      </c>
      <c r="Q3694" s="1">
        <v>0</v>
      </c>
      <c r="R3694" s="1" t="s">
        <v>151</v>
      </c>
      <c r="S3694" s="1" t="s">
        <v>155</v>
      </c>
    </row>
    <row r="3695" spans="1:19" x14ac:dyDescent="0.3">
      <c r="A3695" t="s">
        <v>5868</v>
      </c>
      <c r="B3695" t="s">
        <v>151</v>
      </c>
      <c r="C3695" t="s">
        <v>151</v>
      </c>
      <c r="D3695" t="s">
        <v>449</v>
      </c>
      <c r="E3695" t="s">
        <v>52</v>
      </c>
      <c r="F3695" t="str">
        <f>VLOOKUP(Tabela1[[#This Row],[Plano de contas]],TIPO!A:B,2,0)</f>
        <v>DESPESA C/ PESSOAL</v>
      </c>
      <c r="G3695" t="s">
        <v>158</v>
      </c>
      <c r="H3695" t="s">
        <v>159</v>
      </c>
      <c r="J3695" s="63">
        <v>46163</v>
      </c>
      <c r="K3695" s="6">
        <v>46284</v>
      </c>
      <c r="L3695" s="6" t="s">
        <v>91</v>
      </c>
      <c r="O3695" s="1">
        <v>28</v>
      </c>
      <c r="P3695" s="1">
        <v>0</v>
      </c>
      <c r="Q3695" s="1">
        <v>0</v>
      </c>
      <c r="R3695" s="1" t="s">
        <v>151</v>
      </c>
      <c r="S3695" s="1" t="s">
        <v>155</v>
      </c>
    </row>
    <row r="3696" spans="1:19" x14ac:dyDescent="0.3">
      <c r="A3696" t="s">
        <v>5869</v>
      </c>
      <c r="B3696" t="s">
        <v>151</v>
      </c>
      <c r="C3696" t="s">
        <v>151</v>
      </c>
      <c r="D3696" t="s">
        <v>1542</v>
      </c>
      <c r="E3696" t="s">
        <v>57</v>
      </c>
      <c r="F3696" t="str">
        <f>VLOOKUP(Tabela1[[#This Row],[Plano de contas]],TIPO!A:B,2,0)</f>
        <v>OPERACIONAL</v>
      </c>
      <c r="G3696" t="s">
        <v>158</v>
      </c>
      <c r="H3696" t="s">
        <v>159</v>
      </c>
      <c r="J3696" s="63">
        <v>46163</v>
      </c>
      <c r="K3696" s="6">
        <v>46285</v>
      </c>
      <c r="L3696" s="6" t="s">
        <v>91</v>
      </c>
      <c r="O3696" s="1">
        <v>109.86</v>
      </c>
      <c r="P3696" s="1">
        <v>0</v>
      </c>
      <c r="Q3696" s="1">
        <v>0</v>
      </c>
      <c r="R3696" s="1" t="s">
        <v>151</v>
      </c>
      <c r="S3696" s="1" t="s">
        <v>155</v>
      </c>
    </row>
    <row r="3697" spans="1:19" x14ac:dyDescent="0.3">
      <c r="A3697" t="s">
        <v>5870</v>
      </c>
      <c r="B3697" t="s">
        <v>151</v>
      </c>
      <c r="C3697" t="s">
        <v>151</v>
      </c>
      <c r="D3697" t="s">
        <v>5871</v>
      </c>
      <c r="E3697" t="s">
        <v>3665</v>
      </c>
      <c r="F3697" t="str">
        <f>VLOOKUP(Tabela1[[#This Row],[Plano de contas]],TIPO!A:B,2,0)</f>
        <v>FORNECEDOR</v>
      </c>
      <c r="G3697" t="s">
        <v>213</v>
      </c>
      <c r="H3697" t="s">
        <v>159</v>
      </c>
      <c r="J3697" s="63">
        <v>46163</v>
      </c>
      <c r="K3697" s="6">
        <v>46286</v>
      </c>
      <c r="L3697" s="6" t="s">
        <v>91</v>
      </c>
      <c r="O3697" s="1">
        <v>3242</v>
      </c>
      <c r="P3697" s="1">
        <v>0</v>
      </c>
      <c r="Q3697" s="1">
        <v>0</v>
      </c>
      <c r="R3697" s="1" t="s">
        <v>151</v>
      </c>
      <c r="S3697" s="1" t="s">
        <v>155</v>
      </c>
    </row>
    <row r="3698" spans="1:19" x14ac:dyDescent="0.3">
      <c r="A3698" t="s">
        <v>5872</v>
      </c>
      <c r="B3698" t="s">
        <v>151</v>
      </c>
      <c r="C3698" t="s">
        <v>151</v>
      </c>
      <c r="D3698" t="s">
        <v>5873</v>
      </c>
      <c r="E3698" t="s">
        <v>3665</v>
      </c>
      <c r="F3698" t="str">
        <f>VLOOKUP(Tabela1[[#This Row],[Plano de contas]],TIPO!A:B,2,0)</f>
        <v>FORNECEDOR</v>
      </c>
      <c r="G3698" t="s">
        <v>213</v>
      </c>
      <c r="H3698" t="s">
        <v>159</v>
      </c>
      <c r="J3698" s="63">
        <v>46163</v>
      </c>
      <c r="K3698" s="6">
        <v>46287</v>
      </c>
      <c r="L3698" s="6" t="s">
        <v>91</v>
      </c>
      <c r="O3698" s="1">
        <v>26067.46</v>
      </c>
      <c r="P3698" s="1">
        <v>0</v>
      </c>
      <c r="Q3698" s="1">
        <v>0</v>
      </c>
      <c r="R3698" s="1" t="s">
        <v>151</v>
      </c>
      <c r="S3698" s="1" t="s">
        <v>155</v>
      </c>
    </row>
    <row r="3699" spans="1:19" x14ac:dyDescent="0.3">
      <c r="A3699" t="s">
        <v>5874</v>
      </c>
      <c r="B3699" t="s">
        <v>151</v>
      </c>
      <c r="C3699" t="s">
        <v>151</v>
      </c>
      <c r="D3699" t="s">
        <v>434</v>
      </c>
      <c r="E3699" t="s">
        <v>18</v>
      </c>
      <c r="F3699" t="str">
        <f>VLOOKUP(Tabela1[[#This Row],[Plano de contas]],TIPO!A:B,2,0)</f>
        <v>DESPESA C/ PESSOAL</v>
      </c>
      <c r="G3699" t="s">
        <v>181</v>
      </c>
      <c r="H3699" t="s">
        <v>182</v>
      </c>
      <c r="J3699" s="63">
        <v>46163</v>
      </c>
      <c r="K3699" s="6">
        <v>46288</v>
      </c>
      <c r="L3699" s="6" t="s">
        <v>91</v>
      </c>
      <c r="O3699" s="1">
        <v>50</v>
      </c>
      <c r="P3699" s="1">
        <v>0</v>
      </c>
      <c r="Q3699" s="1">
        <v>0</v>
      </c>
      <c r="R3699" s="1" t="s">
        <v>151</v>
      </c>
      <c r="S3699" s="1" t="s">
        <v>155</v>
      </c>
    </row>
    <row r="3700" spans="1:19" x14ac:dyDescent="0.3">
      <c r="A3700" t="s">
        <v>5875</v>
      </c>
      <c r="B3700" t="s">
        <v>151</v>
      </c>
      <c r="C3700" t="s">
        <v>151</v>
      </c>
      <c r="D3700" t="s">
        <v>4630</v>
      </c>
      <c r="E3700" t="s">
        <v>3559</v>
      </c>
      <c r="F3700" t="str">
        <f>VLOOKUP(Tabela1[[#This Row],[Plano de contas]],TIPO!A:B,2,0)</f>
        <v>OPERACIONAL</v>
      </c>
      <c r="G3700" t="s">
        <v>158</v>
      </c>
      <c r="H3700" t="s">
        <v>159</v>
      </c>
      <c r="J3700" s="63">
        <v>46163</v>
      </c>
      <c r="K3700" s="6">
        <v>46289</v>
      </c>
      <c r="L3700" s="6" t="s">
        <v>91</v>
      </c>
      <c r="O3700" s="1">
        <v>50</v>
      </c>
      <c r="P3700" s="1">
        <v>0</v>
      </c>
      <c r="Q3700" s="1">
        <v>0</v>
      </c>
      <c r="R3700" s="1" t="s">
        <v>151</v>
      </c>
      <c r="S3700" s="1" t="s">
        <v>155</v>
      </c>
    </row>
    <row r="3701" spans="1:19" x14ac:dyDescent="0.3">
      <c r="A3701" t="s">
        <v>5876</v>
      </c>
      <c r="B3701" t="s">
        <v>151</v>
      </c>
      <c r="C3701" t="s">
        <v>151</v>
      </c>
      <c r="D3701" t="s">
        <v>5877</v>
      </c>
      <c r="E3701" t="s">
        <v>87</v>
      </c>
      <c r="F3701" t="str">
        <f>VLOOKUP(Tabela1[[#This Row],[Plano de contas]],TIPO!A:B,2,0)</f>
        <v>OPERACIONAL</v>
      </c>
      <c r="G3701" t="s">
        <v>158</v>
      </c>
      <c r="H3701" t="s">
        <v>159</v>
      </c>
      <c r="J3701" s="63">
        <v>46163</v>
      </c>
      <c r="K3701" s="6">
        <v>46290</v>
      </c>
      <c r="L3701" s="6" t="s">
        <v>91</v>
      </c>
      <c r="O3701" s="1">
        <v>13.29</v>
      </c>
      <c r="P3701" s="1">
        <v>0</v>
      </c>
      <c r="Q3701" s="1">
        <v>0</v>
      </c>
      <c r="R3701" s="1" t="s">
        <v>151</v>
      </c>
      <c r="S3701" s="1" t="s">
        <v>155</v>
      </c>
    </row>
    <row r="3702" spans="1:19" x14ac:dyDescent="0.3">
      <c r="A3702" t="s">
        <v>5878</v>
      </c>
      <c r="B3702" t="s">
        <v>151</v>
      </c>
      <c r="C3702" t="s">
        <v>151</v>
      </c>
      <c r="D3702" t="s">
        <v>2573</v>
      </c>
      <c r="E3702" t="s">
        <v>39</v>
      </c>
      <c r="F3702" t="str">
        <f>VLOOKUP(Tabela1[[#This Row],[Plano de contas]],TIPO!A:B,2,0)</f>
        <v>FINANCEIRA</v>
      </c>
      <c r="G3702" t="s">
        <v>177</v>
      </c>
      <c r="H3702" t="s">
        <v>167</v>
      </c>
      <c r="J3702" s="63">
        <v>46163</v>
      </c>
      <c r="K3702" s="6">
        <v>46291</v>
      </c>
      <c r="L3702" s="6" t="s">
        <v>91</v>
      </c>
      <c r="O3702" s="1">
        <v>5.31</v>
      </c>
      <c r="P3702" s="1">
        <v>0</v>
      </c>
      <c r="Q3702" s="1">
        <v>0</v>
      </c>
      <c r="R3702" s="1" t="s">
        <v>151</v>
      </c>
      <c r="S3702" s="1" t="s">
        <v>155</v>
      </c>
    </row>
    <row r="3703" spans="1:19" x14ac:dyDescent="0.3">
      <c r="A3703" t="s">
        <v>5879</v>
      </c>
      <c r="B3703" t="s">
        <v>151</v>
      </c>
      <c r="C3703" t="s">
        <v>151</v>
      </c>
      <c r="D3703" t="s">
        <v>5880</v>
      </c>
      <c r="E3703" t="s">
        <v>18</v>
      </c>
      <c r="F3703" t="str">
        <f>VLOOKUP(Tabela1[[#This Row],[Plano de contas]],TIPO!A:B,2,0)</f>
        <v>DESPESA C/ PESSOAL</v>
      </c>
      <c r="G3703" t="s">
        <v>158</v>
      </c>
      <c r="H3703" t="s">
        <v>159</v>
      </c>
      <c r="J3703" s="63">
        <v>46164</v>
      </c>
      <c r="K3703" s="6">
        <v>46292</v>
      </c>
      <c r="L3703" s="6" t="s">
        <v>91</v>
      </c>
      <c r="O3703" s="1">
        <v>29.7</v>
      </c>
      <c r="P3703" s="1">
        <v>0</v>
      </c>
      <c r="Q3703" s="1">
        <v>0</v>
      </c>
      <c r="R3703" s="1" t="s">
        <v>151</v>
      </c>
      <c r="S3703" s="1" t="s">
        <v>155</v>
      </c>
    </row>
    <row r="3704" spans="1:19" x14ac:dyDescent="0.3">
      <c r="A3704" t="s">
        <v>5881</v>
      </c>
      <c r="B3704" t="s">
        <v>151</v>
      </c>
      <c r="C3704" t="s">
        <v>151</v>
      </c>
      <c r="D3704" t="s">
        <v>449</v>
      </c>
      <c r="E3704" t="s">
        <v>18</v>
      </c>
      <c r="F3704" t="str">
        <f>VLOOKUP(Tabela1[[#This Row],[Plano de contas]],TIPO!A:B,2,0)</f>
        <v>DESPESA C/ PESSOAL</v>
      </c>
      <c r="G3704" t="s">
        <v>158</v>
      </c>
      <c r="H3704" t="s">
        <v>159</v>
      </c>
      <c r="J3704" s="63">
        <v>46164</v>
      </c>
      <c r="K3704" s="6">
        <v>46293</v>
      </c>
      <c r="L3704" s="6" t="s">
        <v>91</v>
      </c>
      <c r="O3704" s="1">
        <v>77</v>
      </c>
      <c r="P3704" s="1">
        <v>0</v>
      </c>
      <c r="Q3704" s="1">
        <v>0</v>
      </c>
      <c r="R3704" s="1" t="s">
        <v>151</v>
      </c>
      <c r="S3704" s="1" t="s">
        <v>155</v>
      </c>
    </row>
    <row r="3705" spans="1:19" x14ac:dyDescent="0.3">
      <c r="A3705" t="s">
        <v>5882</v>
      </c>
      <c r="B3705" t="s">
        <v>151</v>
      </c>
      <c r="C3705" t="s">
        <v>151</v>
      </c>
      <c r="D3705" t="s">
        <v>3360</v>
      </c>
      <c r="E3705" t="s">
        <v>87</v>
      </c>
      <c r="F3705" t="str">
        <f>VLOOKUP(Tabela1[[#This Row],[Plano de contas]],TIPO!A:B,2,0)</f>
        <v>OPERACIONAL</v>
      </c>
      <c r="G3705" t="s">
        <v>158</v>
      </c>
      <c r="H3705" t="s">
        <v>159</v>
      </c>
      <c r="J3705" s="63">
        <v>46164</v>
      </c>
      <c r="K3705" s="6">
        <v>46294</v>
      </c>
      <c r="L3705" s="6" t="s">
        <v>91</v>
      </c>
      <c r="O3705" s="1">
        <v>13.95</v>
      </c>
      <c r="P3705" s="1">
        <v>0</v>
      </c>
      <c r="Q3705" s="1">
        <v>0</v>
      </c>
      <c r="R3705" s="1" t="s">
        <v>151</v>
      </c>
      <c r="S3705" s="1" t="s">
        <v>155</v>
      </c>
    </row>
    <row r="3706" spans="1:19" x14ac:dyDescent="0.3">
      <c r="A3706" t="s">
        <v>5883</v>
      </c>
      <c r="B3706" t="s">
        <v>151</v>
      </c>
      <c r="C3706" t="s">
        <v>151</v>
      </c>
      <c r="D3706" t="s">
        <v>5884</v>
      </c>
      <c r="E3706" t="s">
        <v>39</v>
      </c>
      <c r="F3706" t="str">
        <f>VLOOKUP(Tabela1[[#This Row],[Plano de contas]],TIPO!A:B,2,0)</f>
        <v>FINANCEIRA</v>
      </c>
      <c r="G3706" t="s">
        <v>177</v>
      </c>
      <c r="H3706" t="s">
        <v>167</v>
      </c>
      <c r="J3706" s="63">
        <v>46164</v>
      </c>
      <c r="K3706" s="6">
        <v>46295</v>
      </c>
      <c r="L3706" s="6" t="s">
        <v>91</v>
      </c>
      <c r="O3706" s="1">
        <v>1.77</v>
      </c>
      <c r="P3706" s="1">
        <v>0</v>
      </c>
      <c r="Q3706" s="1">
        <v>0</v>
      </c>
      <c r="R3706" s="1" t="s">
        <v>151</v>
      </c>
      <c r="S3706" s="1" t="s">
        <v>155</v>
      </c>
    </row>
    <row r="3707" spans="1:19" x14ac:dyDescent="0.3">
      <c r="A3707" t="s">
        <v>5885</v>
      </c>
      <c r="B3707" t="s">
        <v>151</v>
      </c>
      <c r="C3707" t="s">
        <v>151</v>
      </c>
      <c r="D3707" t="s">
        <v>434</v>
      </c>
      <c r="E3707" t="s">
        <v>18</v>
      </c>
      <c r="F3707" t="str">
        <f>VLOOKUP(Tabela1[[#This Row],[Plano de contas]],TIPO!A:B,2,0)</f>
        <v>DESPESA C/ PESSOAL</v>
      </c>
      <c r="G3707" t="s">
        <v>158</v>
      </c>
      <c r="H3707" t="s">
        <v>159</v>
      </c>
      <c r="J3707" s="63">
        <v>46164</v>
      </c>
      <c r="K3707" s="6">
        <v>46296</v>
      </c>
      <c r="L3707" s="6" t="s">
        <v>91</v>
      </c>
      <c r="O3707" s="1">
        <v>38.840000000000003</v>
      </c>
      <c r="P3707" s="1">
        <v>0</v>
      </c>
      <c r="Q3707" s="1">
        <v>0</v>
      </c>
      <c r="R3707" s="1" t="s">
        <v>151</v>
      </c>
      <c r="S3707" s="1" t="s">
        <v>155</v>
      </c>
    </row>
    <row r="3708" spans="1:19" x14ac:dyDescent="0.3">
      <c r="A3708" t="s">
        <v>5886</v>
      </c>
      <c r="B3708" t="s">
        <v>151</v>
      </c>
      <c r="C3708" t="s">
        <v>151</v>
      </c>
      <c r="D3708" t="s">
        <v>3360</v>
      </c>
      <c r="E3708" t="s">
        <v>87</v>
      </c>
      <c r="F3708" t="str">
        <f>VLOOKUP(Tabela1[[#This Row],[Plano de contas]],TIPO!A:B,2,0)</f>
        <v>OPERACIONAL</v>
      </c>
      <c r="G3708" t="s">
        <v>158</v>
      </c>
      <c r="H3708" t="s">
        <v>159</v>
      </c>
      <c r="J3708" s="63">
        <v>46167</v>
      </c>
      <c r="K3708" s="6">
        <v>46297</v>
      </c>
      <c r="L3708" s="6" t="s">
        <v>91</v>
      </c>
      <c r="O3708" s="1">
        <v>7.96</v>
      </c>
      <c r="P3708" s="1">
        <v>0</v>
      </c>
      <c r="Q3708" s="1">
        <v>0</v>
      </c>
      <c r="R3708" s="1" t="s">
        <v>151</v>
      </c>
      <c r="S3708" s="1" t="s">
        <v>155</v>
      </c>
    </row>
    <row r="3709" spans="1:19" x14ac:dyDescent="0.3">
      <c r="A3709" t="s">
        <v>5887</v>
      </c>
      <c r="B3709" t="s">
        <v>151</v>
      </c>
      <c r="C3709" t="s">
        <v>151</v>
      </c>
      <c r="D3709" t="s">
        <v>5888</v>
      </c>
      <c r="E3709" t="s">
        <v>85</v>
      </c>
      <c r="F3709" t="str">
        <f>VLOOKUP(Tabela1[[#This Row],[Plano de contas]],TIPO!A:B,2,0)</f>
        <v>OPERACIONAL</v>
      </c>
      <c r="G3709" t="s">
        <v>158</v>
      </c>
      <c r="H3709" t="s">
        <v>159</v>
      </c>
      <c r="J3709" s="63">
        <v>46167</v>
      </c>
      <c r="K3709" s="6">
        <v>46298</v>
      </c>
      <c r="L3709" s="6" t="s">
        <v>91</v>
      </c>
      <c r="O3709" s="1">
        <v>675.7</v>
      </c>
      <c r="P3709" s="1">
        <v>0</v>
      </c>
      <c r="Q3709" s="1">
        <v>0</v>
      </c>
      <c r="R3709" s="1" t="s">
        <v>151</v>
      </c>
      <c r="S3709" s="1" t="s">
        <v>155</v>
      </c>
    </row>
    <row r="3710" spans="1:19" x14ac:dyDescent="0.3">
      <c r="A3710" t="s">
        <v>5889</v>
      </c>
      <c r="B3710" t="s">
        <v>151</v>
      </c>
      <c r="C3710" t="s">
        <v>151</v>
      </c>
      <c r="D3710" t="s">
        <v>4630</v>
      </c>
      <c r="E3710" t="s">
        <v>3559</v>
      </c>
      <c r="F3710" t="str">
        <f>VLOOKUP(Tabela1[[#This Row],[Plano de contas]],TIPO!A:B,2,0)</f>
        <v>OPERACIONAL</v>
      </c>
      <c r="G3710" t="s">
        <v>158</v>
      </c>
      <c r="H3710" t="s">
        <v>159</v>
      </c>
      <c r="J3710" s="63">
        <v>46167</v>
      </c>
      <c r="K3710" s="6">
        <v>46299</v>
      </c>
      <c r="L3710" s="6" t="s">
        <v>91</v>
      </c>
      <c r="O3710" s="1">
        <v>20</v>
      </c>
      <c r="P3710" s="1">
        <v>0</v>
      </c>
      <c r="Q3710" s="1">
        <v>0</v>
      </c>
      <c r="R3710" s="1" t="s">
        <v>151</v>
      </c>
      <c r="S3710" s="1" t="s">
        <v>155</v>
      </c>
    </row>
    <row r="3711" spans="1:19" x14ac:dyDescent="0.3">
      <c r="A3711" t="s">
        <v>5890</v>
      </c>
      <c r="B3711" t="s">
        <v>151</v>
      </c>
      <c r="C3711" t="s">
        <v>151</v>
      </c>
      <c r="D3711" t="s">
        <v>5891</v>
      </c>
      <c r="E3711" t="s">
        <v>89</v>
      </c>
      <c r="F3711" t="str">
        <f>VLOOKUP(Tabela1[[#This Row],[Plano de contas]],TIPO!A:B,2,0)</f>
        <v>OPERACIONAL</v>
      </c>
      <c r="G3711" t="s">
        <v>158</v>
      </c>
      <c r="H3711" t="s">
        <v>159</v>
      </c>
      <c r="J3711" s="63">
        <v>46167</v>
      </c>
      <c r="K3711" s="6">
        <v>46300</v>
      </c>
      <c r="L3711" s="6" t="s">
        <v>91</v>
      </c>
      <c r="O3711" s="1">
        <v>200</v>
      </c>
      <c r="P3711" s="1">
        <v>0</v>
      </c>
      <c r="Q3711" s="1">
        <v>0</v>
      </c>
      <c r="R3711" s="1" t="s">
        <v>151</v>
      </c>
      <c r="S3711" s="1" t="s">
        <v>155</v>
      </c>
    </row>
    <row r="3712" spans="1:19" x14ac:dyDescent="0.3">
      <c r="A3712" t="s">
        <v>5892</v>
      </c>
      <c r="B3712" t="s">
        <v>151</v>
      </c>
      <c r="C3712" t="s">
        <v>151</v>
      </c>
      <c r="D3712" t="s">
        <v>3218</v>
      </c>
      <c r="E3712" t="s">
        <v>14</v>
      </c>
      <c r="F3712" t="str">
        <f>VLOOKUP(Tabela1[[#This Row],[Plano de contas]],TIPO!A:B,2,0)</f>
        <v>AJUSTE DE CAIXA</v>
      </c>
      <c r="G3712" t="s">
        <v>177</v>
      </c>
      <c r="H3712" t="s">
        <v>167</v>
      </c>
      <c r="J3712" s="63">
        <v>46167</v>
      </c>
      <c r="K3712" s="6">
        <v>46301</v>
      </c>
      <c r="L3712" s="6" t="s">
        <v>91</v>
      </c>
      <c r="O3712" s="1">
        <v>114.78</v>
      </c>
      <c r="P3712" s="1">
        <v>0</v>
      </c>
      <c r="Q3712" s="1">
        <v>0</v>
      </c>
      <c r="R3712" s="1" t="s">
        <v>151</v>
      </c>
      <c r="S3712" s="1" t="s">
        <v>155</v>
      </c>
    </row>
    <row r="3713" spans="1:19" x14ac:dyDescent="0.3">
      <c r="A3713" t="s">
        <v>5893</v>
      </c>
      <c r="B3713" t="s">
        <v>151</v>
      </c>
      <c r="C3713" t="s">
        <v>151</v>
      </c>
      <c r="D3713" t="s">
        <v>2760</v>
      </c>
      <c r="E3713" t="s">
        <v>46</v>
      </c>
      <c r="F3713" t="str">
        <f>VLOOKUP(Tabela1[[#This Row],[Plano de contas]],TIPO!A:B,2,0)</f>
        <v>FINANCEIRA</v>
      </c>
      <c r="G3713" t="s">
        <v>177</v>
      </c>
      <c r="H3713" t="s">
        <v>167</v>
      </c>
      <c r="J3713" s="63">
        <v>46167</v>
      </c>
      <c r="K3713" s="6">
        <v>46302</v>
      </c>
      <c r="L3713" s="6" t="s">
        <v>91</v>
      </c>
      <c r="O3713" s="1">
        <v>17.82</v>
      </c>
      <c r="P3713" s="1">
        <v>0</v>
      </c>
      <c r="Q3713" s="1">
        <v>0</v>
      </c>
      <c r="R3713" s="1" t="s">
        <v>151</v>
      </c>
      <c r="S3713" s="1" t="s">
        <v>155</v>
      </c>
    </row>
    <row r="3714" spans="1:19" x14ac:dyDescent="0.3">
      <c r="A3714" t="s">
        <v>5894</v>
      </c>
      <c r="B3714" t="s">
        <v>151</v>
      </c>
      <c r="C3714" t="s">
        <v>151</v>
      </c>
      <c r="D3714" t="s">
        <v>2760</v>
      </c>
      <c r="E3714" t="s">
        <v>46</v>
      </c>
      <c r="F3714" t="str">
        <f>VLOOKUP(Tabela1[[#This Row],[Plano de contas]],TIPO!A:B,2,0)</f>
        <v>FINANCEIRA</v>
      </c>
      <c r="G3714" t="s">
        <v>177</v>
      </c>
      <c r="H3714" t="s">
        <v>167</v>
      </c>
      <c r="J3714" s="63">
        <v>46167</v>
      </c>
      <c r="K3714" s="6">
        <v>46303</v>
      </c>
      <c r="L3714" s="6" t="s">
        <v>91</v>
      </c>
      <c r="O3714" s="1">
        <v>3.13</v>
      </c>
      <c r="P3714" s="1">
        <v>0</v>
      </c>
      <c r="Q3714" s="1">
        <v>0</v>
      </c>
      <c r="R3714" s="1" t="s">
        <v>151</v>
      </c>
      <c r="S3714" s="1" t="s">
        <v>155</v>
      </c>
    </row>
    <row r="3715" spans="1:19" x14ac:dyDescent="0.3">
      <c r="A3715" t="s">
        <v>5895</v>
      </c>
      <c r="B3715" t="s">
        <v>151</v>
      </c>
      <c r="C3715" t="s">
        <v>151</v>
      </c>
      <c r="D3715" t="s">
        <v>5896</v>
      </c>
      <c r="E3715" t="s">
        <v>67</v>
      </c>
      <c r="F3715" t="str">
        <f>VLOOKUP(Tabela1[[#This Row],[Plano de contas]],TIPO!A:B,2,0)</f>
        <v>OPERACIONAL</v>
      </c>
      <c r="G3715" t="s">
        <v>213</v>
      </c>
      <c r="H3715" t="s">
        <v>167</v>
      </c>
      <c r="J3715" s="63">
        <v>46168</v>
      </c>
      <c r="K3715" s="6">
        <v>46304</v>
      </c>
      <c r="L3715" s="6" t="s">
        <v>91</v>
      </c>
      <c r="O3715" s="1">
        <v>253.35</v>
      </c>
      <c r="P3715" s="1">
        <v>0</v>
      </c>
      <c r="Q3715" s="1">
        <v>0</v>
      </c>
      <c r="R3715" s="1" t="s">
        <v>151</v>
      </c>
      <c r="S3715" s="1" t="s">
        <v>155</v>
      </c>
    </row>
    <row r="3716" spans="1:19" x14ac:dyDescent="0.3">
      <c r="A3716" t="s">
        <v>5897</v>
      </c>
      <c r="B3716" t="s">
        <v>151</v>
      </c>
      <c r="C3716" t="s">
        <v>151</v>
      </c>
      <c r="D3716" t="s">
        <v>5898</v>
      </c>
      <c r="E3716" t="s">
        <v>89</v>
      </c>
      <c r="F3716" t="str">
        <f>VLOOKUP(Tabela1[[#This Row],[Plano de contas]],TIPO!A:B,2,0)</f>
        <v>OPERACIONAL</v>
      </c>
      <c r="G3716" t="s">
        <v>166</v>
      </c>
      <c r="H3716" t="s">
        <v>167</v>
      </c>
      <c r="J3716" s="63">
        <v>46168</v>
      </c>
      <c r="K3716" s="6">
        <v>46305</v>
      </c>
      <c r="L3716" s="6" t="s">
        <v>91</v>
      </c>
      <c r="O3716" s="1">
        <v>344.49</v>
      </c>
      <c r="P3716" s="1">
        <v>0</v>
      </c>
      <c r="Q3716" s="1">
        <v>0</v>
      </c>
      <c r="R3716" s="1" t="s">
        <v>151</v>
      </c>
      <c r="S3716" s="1" t="s">
        <v>155</v>
      </c>
    </row>
    <row r="3717" spans="1:19" x14ac:dyDescent="0.3">
      <c r="A3717" t="s">
        <v>5899</v>
      </c>
      <c r="B3717" t="s">
        <v>151</v>
      </c>
      <c r="C3717" t="s">
        <v>151</v>
      </c>
      <c r="D3717" t="s">
        <v>5900</v>
      </c>
      <c r="E3717" t="s">
        <v>36</v>
      </c>
      <c r="F3717" t="str">
        <f>VLOOKUP(Tabela1[[#This Row],[Plano de contas]],TIPO!A:B,2,0)</f>
        <v>OPERACIONAL</v>
      </c>
      <c r="G3717" t="s">
        <v>158</v>
      </c>
      <c r="H3717" t="s">
        <v>159</v>
      </c>
      <c r="J3717" s="63">
        <v>46168</v>
      </c>
      <c r="K3717" s="6">
        <v>46306</v>
      </c>
      <c r="L3717" s="6" t="s">
        <v>91</v>
      </c>
      <c r="O3717" s="1">
        <v>450</v>
      </c>
      <c r="P3717" s="1">
        <v>0</v>
      </c>
      <c r="Q3717" s="1">
        <v>0</v>
      </c>
      <c r="R3717" s="1" t="s">
        <v>151</v>
      </c>
      <c r="S3717" s="1" t="s">
        <v>155</v>
      </c>
    </row>
    <row r="3718" spans="1:19" x14ac:dyDescent="0.3">
      <c r="A3718" t="s">
        <v>5901</v>
      </c>
      <c r="B3718" t="s">
        <v>151</v>
      </c>
      <c r="C3718" t="s">
        <v>151</v>
      </c>
      <c r="D3718" t="s">
        <v>5902</v>
      </c>
      <c r="E3718" t="s">
        <v>73</v>
      </c>
      <c r="F3718" t="str">
        <f>VLOOKUP(Tabela1[[#This Row],[Plano de contas]],TIPO!A:B,2,0)</f>
        <v>OPERACIONAL</v>
      </c>
      <c r="G3718" t="s">
        <v>158</v>
      </c>
      <c r="H3718" t="s">
        <v>159</v>
      </c>
      <c r="J3718" s="63">
        <v>46168</v>
      </c>
      <c r="K3718" s="6">
        <v>46307</v>
      </c>
      <c r="L3718" s="6" t="s">
        <v>91</v>
      </c>
      <c r="O3718" s="1">
        <v>61.79</v>
      </c>
      <c r="P3718" s="1">
        <v>0</v>
      </c>
      <c r="Q3718" s="1">
        <v>0</v>
      </c>
      <c r="R3718" s="1" t="s">
        <v>151</v>
      </c>
      <c r="S3718" s="1" t="s">
        <v>155</v>
      </c>
    </row>
    <row r="3719" spans="1:19" x14ac:dyDescent="0.3">
      <c r="A3719" t="s">
        <v>5903</v>
      </c>
      <c r="B3719" t="s">
        <v>151</v>
      </c>
      <c r="C3719" t="s">
        <v>151</v>
      </c>
      <c r="D3719" t="s">
        <v>2760</v>
      </c>
      <c r="E3719" t="s">
        <v>46</v>
      </c>
      <c r="F3719" t="str">
        <f>VLOOKUP(Tabela1[[#This Row],[Plano de contas]],TIPO!A:B,2,0)</f>
        <v>FINANCEIRA</v>
      </c>
      <c r="G3719" t="s">
        <v>177</v>
      </c>
      <c r="H3719" t="s">
        <v>167</v>
      </c>
      <c r="J3719" s="63">
        <v>46168</v>
      </c>
      <c r="K3719" s="6">
        <v>46308</v>
      </c>
      <c r="L3719" s="6" t="s">
        <v>91</v>
      </c>
      <c r="O3719" s="1">
        <v>6.26</v>
      </c>
      <c r="P3719" s="1">
        <v>0</v>
      </c>
      <c r="Q3719" s="1">
        <v>0</v>
      </c>
      <c r="R3719" s="1" t="s">
        <v>151</v>
      </c>
      <c r="S3719" s="1" t="s">
        <v>155</v>
      </c>
    </row>
    <row r="3720" spans="1:19" x14ac:dyDescent="0.3">
      <c r="A3720" t="s">
        <v>5904</v>
      </c>
      <c r="B3720" t="s">
        <v>151</v>
      </c>
      <c r="C3720" t="s">
        <v>151</v>
      </c>
      <c r="D3720" t="s">
        <v>2573</v>
      </c>
      <c r="E3720" t="s">
        <v>39</v>
      </c>
      <c r="F3720" t="str">
        <f>VLOOKUP(Tabela1[[#This Row],[Plano de contas]],TIPO!A:B,2,0)</f>
        <v>FINANCEIRA</v>
      </c>
      <c r="G3720" t="s">
        <v>177</v>
      </c>
      <c r="H3720" t="s">
        <v>167</v>
      </c>
      <c r="J3720" s="63">
        <v>46168</v>
      </c>
      <c r="K3720" s="6">
        <v>46309</v>
      </c>
      <c r="L3720" s="6" t="s">
        <v>91</v>
      </c>
      <c r="O3720" s="1">
        <v>3.54</v>
      </c>
      <c r="P3720" s="1">
        <v>0</v>
      </c>
      <c r="Q3720" s="1">
        <v>0</v>
      </c>
      <c r="R3720" s="1" t="s">
        <v>151</v>
      </c>
      <c r="S3720" s="1" t="s">
        <v>155</v>
      </c>
    </row>
    <row r="3721" spans="1:19" x14ac:dyDescent="0.3">
      <c r="A3721" t="s">
        <v>5905</v>
      </c>
      <c r="B3721" t="s">
        <v>151</v>
      </c>
      <c r="C3721" t="s">
        <v>151</v>
      </c>
      <c r="D3721" t="s">
        <v>5906</v>
      </c>
      <c r="E3721" t="s">
        <v>59</v>
      </c>
      <c r="F3721" t="str">
        <f>VLOOKUP(Tabela1[[#This Row],[Plano de contas]],TIPO!A:B,2,0)</f>
        <v>OPERACIONAL</v>
      </c>
      <c r="G3721" t="s">
        <v>158</v>
      </c>
      <c r="H3721" t="s">
        <v>159</v>
      </c>
      <c r="J3721" s="63">
        <v>46169</v>
      </c>
      <c r="K3721" s="6">
        <v>46310</v>
      </c>
      <c r="L3721" s="6" t="s">
        <v>91</v>
      </c>
      <c r="O3721" s="1">
        <v>50</v>
      </c>
      <c r="P3721" s="1">
        <v>0</v>
      </c>
      <c r="Q3721" s="1">
        <v>0</v>
      </c>
      <c r="R3721" s="1" t="s">
        <v>151</v>
      </c>
      <c r="S3721" s="1" t="s">
        <v>155</v>
      </c>
    </row>
    <row r="3722" spans="1:19" x14ac:dyDescent="0.3">
      <c r="A3722" t="s">
        <v>5907</v>
      </c>
      <c r="B3722" t="s">
        <v>151</v>
      </c>
      <c r="C3722" t="s">
        <v>151</v>
      </c>
      <c r="D3722" t="s">
        <v>4209</v>
      </c>
      <c r="E3722" t="s">
        <v>85</v>
      </c>
      <c r="F3722" t="str">
        <f>VLOOKUP(Tabela1[[#This Row],[Plano de contas]],TIPO!A:B,2,0)</f>
        <v>OPERACIONAL</v>
      </c>
      <c r="G3722" t="s">
        <v>213</v>
      </c>
      <c r="H3722" t="s">
        <v>167</v>
      </c>
      <c r="J3722" s="63">
        <v>46169</v>
      </c>
      <c r="K3722" s="6">
        <v>46311</v>
      </c>
      <c r="L3722" s="6" t="s">
        <v>91</v>
      </c>
      <c r="O3722" s="1">
        <v>660.94</v>
      </c>
      <c r="P3722" s="1">
        <v>0</v>
      </c>
      <c r="Q3722" s="1">
        <v>0</v>
      </c>
      <c r="R3722" s="1" t="s">
        <v>151</v>
      </c>
      <c r="S3722" s="1" t="s">
        <v>155</v>
      </c>
    </row>
    <row r="3723" spans="1:19" x14ac:dyDescent="0.3">
      <c r="A3723" t="s">
        <v>5908</v>
      </c>
      <c r="B3723" t="s">
        <v>151</v>
      </c>
      <c r="C3723" t="s">
        <v>151</v>
      </c>
      <c r="D3723" t="s">
        <v>449</v>
      </c>
      <c r="E3723" t="s">
        <v>18</v>
      </c>
      <c r="F3723" t="str">
        <f>VLOOKUP(Tabela1[[#This Row],[Plano de contas]],TIPO!A:B,2,0)</f>
        <v>DESPESA C/ PESSOAL</v>
      </c>
      <c r="G3723" t="s">
        <v>158</v>
      </c>
      <c r="H3723" t="s">
        <v>159</v>
      </c>
      <c r="J3723" s="63">
        <v>46169</v>
      </c>
      <c r="K3723" s="6">
        <v>46312</v>
      </c>
      <c r="L3723" s="6" t="s">
        <v>91</v>
      </c>
      <c r="O3723" s="1">
        <v>36.53</v>
      </c>
      <c r="P3723" s="1">
        <v>0</v>
      </c>
      <c r="Q3723" s="1">
        <v>0</v>
      </c>
      <c r="R3723" s="1" t="s">
        <v>151</v>
      </c>
      <c r="S3723" s="1" t="s">
        <v>155</v>
      </c>
    </row>
    <row r="3724" spans="1:19" x14ac:dyDescent="0.3">
      <c r="A3724" t="s">
        <v>5909</v>
      </c>
      <c r="B3724" t="s">
        <v>151</v>
      </c>
      <c r="C3724" t="s">
        <v>151</v>
      </c>
      <c r="D3724" t="s">
        <v>5910</v>
      </c>
      <c r="E3724" t="s">
        <v>18</v>
      </c>
      <c r="F3724" t="str">
        <f>VLOOKUP(Tabela1[[#This Row],[Plano de contas]],TIPO!A:B,2,0)</f>
        <v>DESPESA C/ PESSOAL</v>
      </c>
      <c r="G3724" t="s">
        <v>181</v>
      </c>
      <c r="H3724" t="s">
        <v>182</v>
      </c>
      <c r="J3724" s="63">
        <v>46169</v>
      </c>
      <c r="K3724" s="6">
        <v>46313</v>
      </c>
      <c r="L3724" s="6" t="s">
        <v>91</v>
      </c>
      <c r="O3724" s="1">
        <v>12</v>
      </c>
      <c r="P3724" s="1">
        <v>0</v>
      </c>
      <c r="Q3724" s="1">
        <v>0</v>
      </c>
      <c r="R3724" s="1" t="s">
        <v>151</v>
      </c>
      <c r="S3724" s="1" t="s">
        <v>155</v>
      </c>
    </row>
    <row r="3725" spans="1:19" x14ac:dyDescent="0.3">
      <c r="A3725" t="s">
        <v>5911</v>
      </c>
      <c r="B3725" t="s">
        <v>151</v>
      </c>
      <c r="C3725" t="s">
        <v>151</v>
      </c>
      <c r="D3725" t="s">
        <v>3360</v>
      </c>
      <c r="E3725" t="s">
        <v>87</v>
      </c>
      <c r="F3725" t="str">
        <f>VLOOKUP(Tabela1[[#This Row],[Plano de contas]],TIPO!A:B,2,0)</f>
        <v>OPERACIONAL</v>
      </c>
      <c r="G3725" t="s">
        <v>158</v>
      </c>
      <c r="H3725" t="s">
        <v>159</v>
      </c>
      <c r="J3725" s="63">
        <v>46169</v>
      </c>
      <c r="K3725" s="6">
        <v>46314</v>
      </c>
      <c r="L3725" s="6" t="s">
        <v>91</v>
      </c>
      <c r="O3725" s="1">
        <v>1.95</v>
      </c>
      <c r="P3725" s="1">
        <v>0</v>
      </c>
      <c r="Q3725" s="1">
        <v>0</v>
      </c>
      <c r="R3725" s="1" t="s">
        <v>151</v>
      </c>
      <c r="S3725" s="1" t="s">
        <v>155</v>
      </c>
    </row>
    <row r="3726" spans="1:19" x14ac:dyDescent="0.3">
      <c r="A3726" t="s">
        <v>5912</v>
      </c>
      <c r="B3726" t="s">
        <v>151</v>
      </c>
      <c r="C3726" t="s">
        <v>151</v>
      </c>
      <c r="D3726" t="s">
        <v>5913</v>
      </c>
      <c r="E3726" t="s">
        <v>39</v>
      </c>
      <c r="F3726" t="str">
        <f>VLOOKUP(Tabela1[[#This Row],[Plano de contas]],TIPO!A:B,2,0)</f>
        <v>FINANCEIRA</v>
      </c>
      <c r="G3726" t="s">
        <v>177</v>
      </c>
      <c r="H3726" t="s">
        <v>167</v>
      </c>
      <c r="J3726" s="63">
        <v>46169</v>
      </c>
      <c r="K3726" s="6">
        <v>46315</v>
      </c>
      <c r="L3726" s="6" t="s">
        <v>91</v>
      </c>
      <c r="O3726" s="1">
        <v>1.77</v>
      </c>
      <c r="P3726" s="1">
        <v>0</v>
      </c>
      <c r="Q3726" s="1">
        <v>0</v>
      </c>
      <c r="R3726" s="1" t="s">
        <v>151</v>
      </c>
      <c r="S3726" s="1" t="s">
        <v>155</v>
      </c>
    </row>
    <row r="3727" spans="1:19" x14ac:dyDescent="0.3">
      <c r="A3727" t="s">
        <v>5914</v>
      </c>
      <c r="B3727" t="s">
        <v>151</v>
      </c>
      <c r="C3727" t="s">
        <v>151</v>
      </c>
      <c r="D3727" t="s">
        <v>5888</v>
      </c>
      <c r="E3727" t="s">
        <v>36</v>
      </c>
      <c r="F3727" t="str">
        <f>VLOOKUP(Tabela1[[#This Row],[Plano de contas]],TIPO!A:B,2,0)</f>
        <v>OPERACIONAL</v>
      </c>
      <c r="G3727" t="s">
        <v>158</v>
      </c>
      <c r="H3727" t="s">
        <v>159</v>
      </c>
      <c r="J3727" s="63">
        <v>46170</v>
      </c>
      <c r="K3727" s="6">
        <v>46316</v>
      </c>
      <c r="L3727" s="6" t="s">
        <v>91</v>
      </c>
      <c r="O3727" s="1">
        <v>775</v>
      </c>
      <c r="P3727" s="1">
        <v>0</v>
      </c>
      <c r="Q3727" s="1">
        <v>0</v>
      </c>
      <c r="R3727" s="1" t="s">
        <v>151</v>
      </c>
      <c r="S3727" s="1" t="s">
        <v>155</v>
      </c>
    </row>
    <row r="3728" spans="1:19" x14ac:dyDescent="0.3">
      <c r="A3728" t="s">
        <v>5915</v>
      </c>
      <c r="B3728" t="s">
        <v>151</v>
      </c>
      <c r="C3728" t="s">
        <v>151</v>
      </c>
      <c r="D3728" t="s">
        <v>449</v>
      </c>
      <c r="E3728" t="s">
        <v>18</v>
      </c>
      <c r="F3728" t="str">
        <f>VLOOKUP(Tabela1[[#This Row],[Plano de contas]],TIPO!A:B,2,0)</f>
        <v>DESPESA C/ PESSOAL</v>
      </c>
      <c r="G3728" t="s">
        <v>158</v>
      </c>
      <c r="H3728" t="s">
        <v>159</v>
      </c>
      <c r="J3728" s="63">
        <v>46170</v>
      </c>
      <c r="K3728" s="6">
        <v>46317</v>
      </c>
      <c r="L3728" s="6" t="s">
        <v>91</v>
      </c>
      <c r="O3728" s="1">
        <v>110</v>
      </c>
      <c r="P3728" s="1">
        <v>0</v>
      </c>
      <c r="Q3728" s="1">
        <v>0</v>
      </c>
      <c r="R3728" s="1" t="s">
        <v>151</v>
      </c>
      <c r="S3728" s="1" t="s">
        <v>155</v>
      </c>
    </row>
    <row r="3729" spans="1:19" x14ac:dyDescent="0.3">
      <c r="A3729" t="s">
        <v>5916</v>
      </c>
      <c r="B3729" t="s">
        <v>151</v>
      </c>
      <c r="C3729" t="s">
        <v>151</v>
      </c>
      <c r="D3729" t="s">
        <v>5917</v>
      </c>
      <c r="E3729" t="s">
        <v>79</v>
      </c>
      <c r="F3729" t="str">
        <f>VLOOKUP(Tabela1[[#This Row],[Plano de contas]],TIPO!A:B,2,0)</f>
        <v>DESPESA C/ PESSOAL</v>
      </c>
      <c r="G3729" t="s">
        <v>158</v>
      </c>
      <c r="H3729" t="s">
        <v>159</v>
      </c>
      <c r="J3729" s="63">
        <v>46170</v>
      </c>
      <c r="K3729" s="6">
        <v>46318</v>
      </c>
      <c r="L3729" s="6" t="s">
        <v>91</v>
      </c>
      <c r="O3729" s="1">
        <v>288</v>
      </c>
      <c r="P3729" s="1">
        <v>0</v>
      </c>
      <c r="Q3729" s="1">
        <v>0</v>
      </c>
      <c r="R3729" s="1" t="s">
        <v>151</v>
      </c>
      <c r="S3729" s="1" t="s">
        <v>155</v>
      </c>
    </row>
    <row r="3730" spans="1:19" x14ac:dyDescent="0.3">
      <c r="A3730" t="s">
        <v>5918</v>
      </c>
      <c r="B3730" t="s">
        <v>151</v>
      </c>
      <c r="C3730" t="s">
        <v>151</v>
      </c>
      <c r="D3730" t="s">
        <v>3360</v>
      </c>
      <c r="E3730" t="s">
        <v>87</v>
      </c>
      <c r="F3730" t="str">
        <f>VLOOKUP(Tabela1[[#This Row],[Plano de contas]],TIPO!A:B,2,0)</f>
        <v>OPERACIONAL</v>
      </c>
      <c r="G3730" t="s">
        <v>158</v>
      </c>
      <c r="H3730" t="s">
        <v>159</v>
      </c>
      <c r="J3730" s="63">
        <v>46171</v>
      </c>
      <c r="K3730" s="6">
        <v>46319</v>
      </c>
      <c r="L3730" s="6" t="s">
        <v>91</v>
      </c>
      <c r="O3730" s="1">
        <v>24.98</v>
      </c>
      <c r="P3730" s="1">
        <v>0</v>
      </c>
      <c r="Q3730" s="1">
        <v>0</v>
      </c>
      <c r="R3730" s="1" t="s">
        <v>151</v>
      </c>
      <c r="S3730" s="1" t="s">
        <v>155</v>
      </c>
    </row>
    <row r="3731" spans="1:19" x14ac:dyDescent="0.3">
      <c r="A3731" t="s">
        <v>5919</v>
      </c>
      <c r="B3731" t="s">
        <v>151</v>
      </c>
      <c r="C3731" t="s">
        <v>151</v>
      </c>
      <c r="D3731" t="s">
        <v>5920</v>
      </c>
      <c r="E3731" t="s">
        <v>3559</v>
      </c>
      <c r="F3731" t="str">
        <f>VLOOKUP(Tabela1[[#This Row],[Plano de contas]],TIPO!A:B,2,0)</f>
        <v>OPERACIONAL</v>
      </c>
      <c r="G3731" t="s">
        <v>158</v>
      </c>
      <c r="H3731" t="s">
        <v>159</v>
      </c>
      <c r="J3731" s="63">
        <v>46171</v>
      </c>
      <c r="K3731" s="6">
        <v>46320</v>
      </c>
      <c r="L3731" s="6" t="s">
        <v>91</v>
      </c>
      <c r="O3731" s="1">
        <v>20</v>
      </c>
      <c r="P3731" s="1">
        <v>0</v>
      </c>
      <c r="Q3731" s="1">
        <v>0</v>
      </c>
      <c r="R3731" s="1" t="s">
        <v>151</v>
      </c>
      <c r="S3731" s="1" t="s">
        <v>155</v>
      </c>
    </row>
    <row r="3732" spans="1:19" x14ac:dyDescent="0.3">
      <c r="A3732" t="s">
        <v>5921</v>
      </c>
      <c r="B3732" t="s">
        <v>151</v>
      </c>
      <c r="C3732" t="s">
        <v>151</v>
      </c>
      <c r="D3732" t="s">
        <v>449</v>
      </c>
      <c r="E3732" t="s">
        <v>18</v>
      </c>
      <c r="F3732" t="str">
        <f>VLOOKUP(Tabela1[[#This Row],[Plano de contas]],TIPO!A:B,2,0)</f>
        <v>DESPESA C/ PESSOAL</v>
      </c>
      <c r="G3732" t="s">
        <v>158</v>
      </c>
      <c r="H3732" t="s">
        <v>159</v>
      </c>
      <c r="J3732" s="63">
        <v>46171</v>
      </c>
      <c r="K3732" s="6">
        <v>46321</v>
      </c>
      <c r="L3732" s="6" t="s">
        <v>91</v>
      </c>
      <c r="O3732" s="1">
        <v>29</v>
      </c>
      <c r="P3732" s="1">
        <v>0</v>
      </c>
      <c r="Q3732" s="1">
        <v>0</v>
      </c>
      <c r="R3732" s="1" t="s">
        <v>151</v>
      </c>
      <c r="S3732" s="1" t="s">
        <v>155</v>
      </c>
    </row>
    <row r="3733" spans="1:19" x14ac:dyDescent="0.3">
      <c r="A3733" t="s">
        <v>5922</v>
      </c>
      <c r="B3733" t="s">
        <v>151</v>
      </c>
      <c r="C3733" t="s">
        <v>151</v>
      </c>
      <c r="D3733" t="s">
        <v>5923</v>
      </c>
      <c r="E3733" t="s">
        <v>3665</v>
      </c>
      <c r="F3733" t="str">
        <f>VLOOKUP(Tabela1[[#This Row],[Plano de contas]],TIPO!A:B,2,0)</f>
        <v>FORNECEDOR</v>
      </c>
      <c r="G3733" t="s">
        <v>158</v>
      </c>
      <c r="H3733" t="s">
        <v>159</v>
      </c>
      <c r="J3733" s="63">
        <v>46171</v>
      </c>
      <c r="K3733" s="6">
        <v>46322</v>
      </c>
      <c r="L3733" s="6" t="s">
        <v>91</v>
      </c>
      <c r="O3733" s="1">
        <v>15579.17</v>
      </c>
      <c r="P3733" s="1">
        <v>0</v>
      </c>
      <c r="Q3733" s="1">
        <v>0</v>
      </c>
      <c r="R3733" s="1" t="s">
        <v>151</v>
      </c>
      <c r="S3733" s="1" t="s">
        <v>155</v>
      </c>
    </row>
    <row r="3734" spans="1:19" x14ac:dyDescent="0.3">
      <c r="A3734" t="s">
        <v>5924</v>
      </c>
      <c r="B3734" t="s">
        <v>151</v>
      </c>
      <c r="C3734" t="s">
        <v>151</v>
      </c>
      <c r="D3734" t="s">
        <v>5925</v>
      </c>
      <c r="E3734" t="s">
        <v>3665</v>
      </c>
      <c r="F3734" t="str">
        <f>VLOOKUP(Tabela1[[#This Row],[Plano de contas]],TIPO!A:B,2,0)</f>
        <v>FORNECEDOR</v>
      </c>
      <c r="G3734" t="s">
        <v>158</v>
      </c>
      <c r="H3734" t="s">
        <v>159</v>
      </c>
      <c r="J3734" s="63">
        <v>46171</v>
      </c>
      <c r="K3734" s="6">
        <v>46323</v>
      </c>
      <c r="L3734" s="6" t="s">
        <v>91</v>
      </c>
      <c r="O3734" s="1">
        <v>50000</v>
      </c>
      <c r="P3734" s="1">
        <v>0</v>
      </c>
      <c r="Q3734" s="1">
        <v>0</v>
      </c>
      <c r="R3734" s="1" t="s">
        <v>151</v>
      </c>
      <c r="S3734" s="1" t="s">
        <v>155</v>
      </c>
    </row>
    <row r="3735" spans="1:19" x14ac:dyDescent="0.3">
      <c r="A3735" t="s">
        <v>5926</v>
      </c>
      <c r="B3735" t="s">
        <v>151</v>
      </c>
      <c r="C3735" t="s">
        <v>151</v>
      </c>
      <c r="D3735" t="s">
        <v>5927</v>
      </c>
      <c r="E3735" t="s">
        <v>3665</v>
      </c>
      <c r="F3735" t="str">
        <f>VLOOKUP(Tabela1[[#This Row],[Plano de contas]],TIPO!A:B,2,0)</f>
        <v>FORNECEDOR</v>
      </c>
      <c r="G3735" t="s">
        <v>158</v>
      </c>
      <c r="H3735" t="s">
        <v>159</v>
      </c>
      <c r="J3735" s="63">
        <v>46171</v>
      </c>
      <c r="K3735" s="6">
        <v>46324</v>
      </c>
      <c r="L3735" s="6" t="s">
        <v>91</v>
      </c>
      <c r="O3735" s="1">
        <v>110705.44</v>
      </c>
      <c r="P3735" s="1">
        <v>0</v>
      </c>
      <c r="Q3735" s="1">
        <v>0</v>
      </c>
      <c r="R3735" s="1" t="s">
        <v>151</v>
      </c>
      <c r="S3735" s="1" t="s">
        <v>155</v>
      </c>
    </row>
    <row r="3736" spans="1:19" x14ac:dyDescent="0.3">
      <c r="A3736" t="s">
        <v>5928</v>
      </c>
      <c r="B3736" t="s">
        <v>151</v>
      </c>
      <c r="C3736" t="s">
        <v>151</v>
      </c>
      <c r="D3736" t="s">
        <v>5929</v>
      </c>
      <c r="E3736" t="s">
        <v>104</v>
      </c>
      <c r="F3736" t="str">
        <f>VLOOKUP(Tabela1[[#This Row],[Plano de contas]],TIPO!A:B,2,0)</f>
        <v>DESPESA C/ PESSOAL</v>
      </c>
      <c r="G3736" t="s">
        <v>149</v>
      </c>
      <c r="H3736" t="s">
        <v>150</v>
      </c>
      <c r="J3736" s="63">
        <v>46171</v>
      </c>
      <c r="K3736" s="6">
        <v>46325</v>
      </c>
      <c r="L3736" s="6" t="s">
        <v>91</v>
      </c>
      <c r="O3736" s="1">
        <v>789.6</v>
      </c>
      <c r="P3736" s="1">
        <v>0</v>
      </c>
      <c r="Q3736" s="1">
        <v>0</v>
      </c>
      <c r="R3736" s="1" t="s">
        <v>151</v>
      </c>
      <c r="S3736" s="1" t="s">
        <v>155</v>
      </c>
    </row>
    <row r="3737" spans="1:19" x14ac:dyDescent="0.3">
      <c r="A3737" t="s">
        <v>5930</v>
      </c>
      <c r="B3737" t="s">
        <v>151</v>
      </c>
      <c r="C3737" t="s">
        <v>151</v>
      </c>
      <c r="D3737" t="s">
        <v>5401</v>
      </c>
      <c r="E3737" t="s">
        <v>104</v>
      </c>
      <c r="F3737" t="str">
        <f>VLOOKUP(Tabela1[[#This Row],[Plano de contas]],TIPO!A:B,2,0)</f>
        <v>DESPESA C/ PESSOAL</v>
      </c>
      <c r="G3737" t="s">
        <v>149</v>
      </c>
      <c r="H3737" t="s">
        <v>150</v>
      </c>
      <c r="J3737" s="63">
        <v>46171</v>
      </c>
      <c r="K3737" s="6">
        <v>46326</v>
      </c>
      <c r="L3737" s="6" t="s">
        <v>91</v>
      </c>
      <c r="O3737" s="1">
        <v>789.6</v>
      </c>
      <c r="P3737" s="1">
        <v>0</v>
      </c>
      <c r="Q3737" s="1">
        <v>0</v>
      </c>
      <c r="R3737" s="1" t="s">
        <v>151</v>
      </c>
      <c r="S3737" s="1" t="s">
        <v>155</v>
      </c>
    </row>
    <row r="3738" spans="1:19" x14ac:dyDescent="0.3">
      <c r="A3738" t="s">
        <v>5931</v>
      </c>
      <c r="B3738" t="s">
        <v>151</v>
      </c>
      <c r="C3738" t="s">
        <v>151</v>
      </c>
      <c r="D3738" t="s">
        <v>5932</v>
      </c>
      <c r="E3738" t="s">
        <v>104</v>
      </c>
      <c r="F3738" t="str">
        <f>VLOOKUP(Tabela1[[#This Row],[Plano de contas]],TIPO!A:B,2,0)</f>
        <v>DESPESA C/ PESSOAL</v>
      </c>
      <c r="G3738" t="s">
        <v>149</v>
      </c>
      <c r="H3738" t="s">
        <v>150</v>
      </c>
      <c r="J3738" s="63">
        <v>46171</v>
      </c>
      <c r="K3738" s="6">
        <v>46327</v>
      </c>
      <c r="L3738" s="6" t="s">
        <v>91</v>
      </c>
      <c r="O3738" s="1">
        <v>601.6</v>
      </c>
      <c r="P3738" s="1">
        <v>0</v>
      </c>
      <c r="Q3738" s="1">
        <v>0</v>
      </c>
      <c r="R3738" s="1" t="s">
        <v>151</v>
      </c>
      <c r="S3738" s="1" t="s">
        <v>155</v>
      </c>
    </row>
    <row r="3739" spans="1:19" x14ac:dyDescent="0.3">
      <c r="A3739" t="s">
        <v>5933</v>
      </c>
      <c r="B3739" t="s">
        <v>151</v>
      </c>
      <c r="C3739" t="s">
        <v>151</v>
      </c>
      <c r="D3739" t="s">
        <v>5403</v>
      </c>
      <c r="E3739" t="s">
        <v>104</v>
      </c>
      <c r="F3739" t="str">
        <f>VLOOKUP(Tabela1[[#This Row],[Plano de contas]],TIPO!A:B,2,0)</f>
        <v>DESPESA C/ PESSOAL</v>
      </c>
      <c r="G3739" t="s">
        <v>149</v>
      </c>
      <c r="H3739" t="s">
        <v>150</v>
      </c>
      <c r="J3739" s="63">
        <v>46171</v>
      </c>
      <c r="K3739" s="6">
        <v>46328</v>
      </c>
      <c r="L3739" s="6" t="s">
        <v>91</v>
      </c>
      <c r="O3739" s="1">
        <v>789.6</v>
      </c>
      <c r="P3739" s="1">
        <v>0</v>
      </c>
      <c r="Q3739" s="1">
        <v>0</v>
      </c>
      <c r="R3739" s="1" t="s">
        <v>151</v>
      </c>
      <c r="S3739" s="1" t="s">
        <v>155</v>
      </c>
    </row>
    <row r="3740" spans="1:19" x14ac:dyDescent="0.3">
      <c r="A3740" t="s">
        <v>5934</v>
      </c>
      <c r="B3740" t="s">
        <v>151</v>
      </c>
      <c r="C3740" t="s">
        <v>151</v>
      </c>
      <c r="D3740" t="s">
        <v>5935</v>
      </c>
      <c r="E3740" t="s">
        <v>104</v>
      </c>
      <c r="F3740" t="str">
        <f>VLOOKUP(Tabela1[[#This Row],[Plano de contas]],TIPO!A:B,2,0)</f>
        <v>DESPESA C/ PESSOAL</v>
      </c>
      <c r="G3740" t="s">
        <v>149</v>
      </c>
      <c r="H3740" t="s">
        <v>150</v>
      </c>
      <c r="J3740" s="63">
        <v>46171</v>
      </c>
      <c r="K3740" s="6">
        <v>46329</v>
      </c>
      <c r="L3740" s="6" t="s">
        <v>91</v>
      </c>
      <c r="O3740" s="1">
        <v>150</v>
      </c>
      <c r="P3740" s="1">
        <v>0</v>
      </c>
      <c r="Q3740" s="1">
        <v>0</v>
      </c>
      <c r="R3740" s="1" t="s">
        <v>151</v>
      </c>
      <c r="S3740" s="1" t="s">
        <v>155</v>
      </c>
    </row>
    <row r="3741" spans="1:19" x14ac:dyDescent="0.3">
      <c r="A3741" t="s">
        <v>5936</v>
      </c>
      <c r="B3741" t="s">
        <v>151</v>
      </c>
      <c r="C3741" t="s">
        <v>151</v>
      </c>
      <c r="D3741" t="s">
        <v>3458</v>
      </c>
      <c r="E3741" t="s">
        <v>87</v>
      </c>
      <c r="F3741" t="str">
        <f>VLOOKUP(Tabela1[[#This Row],[Plano de contas]],TIPO!A:B,2,0)</f>
        <v>OPERACIONAL</v>
      </c>
      <c r="G3741" t="s">
        <v>158</v>
      </c>
      <c r="H3741" t="s">
        <v>159</v>
      </c>
      <c r="J3741" s="63">
        <v>46171</v>
      </c>
      <c r="K3741" s="6">
        <v>46330</v>
      </c>
      <c r="L3741" s="6" t="s">
        <v>91</v>
      </c>
      <c r="O3741" s="1">
        <v>30.86</v>
      </c>
      <c r="P3741" s="1">
        <v>0</v>
      </c>
      <c r="Q3741" s="1">
        <v>0</v>
      </c>
      <c r="R3741" s="1" t="s">
        <v>151</v>
      </c>
      <c r="S3741" s="1" t="s">
        <v>155</v>
      </c>
    </row>
    <row r="3742" spans="1:19" x14ac:dyDescent="0.3">
      <c r="A3742" t="s">
        <v>5937</v>
      </c>
      <c r="B3742" t="s">
        <v>151</v>
      </c>
      <c r="C3742" t="s">
        <v>151</v>
      </c>
      <c r="D3742" t="s">
        <v>2760</v>
      </c>
      <c r="E3742" t="s">
        <v>46</v>
      </c>
      <c r="F3742" t="str">
        <f>VLOOKUP(Tabela1[[#This Row],[Plano de contas]],TIPO!A:B,2,0)</f>
        <v>FINANCEIRA</v>
      </c>
      <c r="G3742" t="s">
        <v>177</v>
      </c>
      <c r="H3742" t="s">
        <v>167</v>
      </c>
      <c r="J3742" s="63">
        <v>46171</v>
      </c>
      <c r="K3742" s="6">
        <v>46331</v>
      </c>
      <c r="L3742" s="6" t="s">
        <v>91</v>
      </c>
      <c r="O3742" s="1">
        <v>6.26</v>
      </c>
      <c r="P3742" s="1">
        <v>0</v>
      </c>
      <c r="Q3742" s="1">
        <v>0</v>
      </c>
      <c r="R3742" s="1" t="s">
        <v>151</v>
      </c>
      <c r="S3742" s="1" t="s">
        <v>155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8" sqref="C18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3">
        <v>872484.65</v>
      </c>
    </row>
    <row r="15" spans="1:3" x14ac:dyDescent="0.3">
      <c r="A15" s="18" t="s">
        <v>3</v>
      </c>
      <c r="B15" s="18">
        <v>2026</v>
      </c>
      <c r="C15" s="93">
        <v>997507.6</v>
      </c>
    </row>
    <row r="16" spans="1:3" x14ac:dyDescent="0.3">
      <c r="A16" s="18" t="s">
        <v>13</v>
      </c>
      <c r="B16" s="18">
        <v>2026</v>
      </c>
      <c r="C16" s="94">
        <v>1054273.8</v>
      </c>
    </row>
    <row r="17" spans="1:3" x14ac:dyDescent="0.3">
      <c r="A17" s="18" t="s">
        <v>4</v>
      </c>
      <c r="B17" s="18">
        <v>2026</v>
      </c>
      <c r="C17" s="93">
        <v>959722.82</v>
      </c>
    </row>
    <row r="18" spans="1:3" x14ac:dyDescent="0.3">
      <c r="A18" s="18" t="s">
        <v>91</v>
      </c>
      <c r="B18" s="18">
        <v>2026</v>
      </c>
      <c r="C18" s="49">
        <v>980198.29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C18" sqref="C18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3">
        <v>579899.35</v>
      </c>
    </row>
    <row r="15" spans="1:3" x14ac:dyDescent="0.3">
      <c r="A15" s="18" t="s">
        <v>3</v>
      </c>
      <c r="B15" s="18">
        <v>2026</v>
      </c>
      <c r="C15" s="93">
        <v>636726.01</v>
      </c>
    </row>
    <row r="16" spans="1:3" x14ac:dyDescent="0.3">
      <c r="A16" s="18" t="s">
        <v>13</v>
      </c>
      <c r="B16" s="18">
        <v>2026</v>
      </c>
      <c r="C16" s="93">
        <v>705701.25</v>
      </c>
    </row>
    <row r="17" spans="1:3" x14ac:dyDescent="0.3">
      <c r="A17" s="18" t="s">
        <v>4</v>
      </c>
      <c r="B17" s="18">
        <v>2026</v>
      </c>
      <c r="C17" s="93">
        <v>630764.37</v>
      </c>
    </row>
    <row r="18" spans="1:3" x14ac:dyDescent="0.3">
      <c r="A18" s="18" t="s">
        <v>91</v>
      </c>
      <c r="B18" s="18">
        <v>2026</v>
      </c>
      <c r="C18" s="49">
        <v>630599.42000000004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F25"/>
  <sheetViews>
    <sheetView workbookViewId="0">
      <selection activeCell="C4" sqref="C4"/>
    </sheetView>
  </sheetViews>
  <sheetFormatPr defaultRowHeight="15.6" x14ac:dyDescent="0.3"/>
  <cols>
    <col min="3" max="3" width="22.796875" style="1" bestFit="1" customWidth="1"/>
    <col min="6" max="6" width="12.69921875" bestFit="1" customWidth="1"/>
  </cols>
  <sheetData>
    <row r="1" spans="1:6" ht="23.4" x14ac:dyDescent="0.45">
      <c r="A1" s="18" t="s">
        <v>106</v>
      </c>
      <c r="B1" s="18" t="s">
        <v>4262</v>
      </c>
      <c r="C1" s="42" t="s">
        <v>119</v>
      </c>
    </row>
    <row r="2" spans="1:6" ht="23.4" x14ac:dyDescent="0.45">
      <c r="A2" s="18" t="s">
        <v>2</v>
      </c>
      <c r="B2" s="18">
        <v>2025</v>
      </c>
      <c r="C2" s="42">
        <v>984883.55999999959</v>
      </c>
    </row>
    <row r="3" spans="1:6" ht="23.4" x14ac:dyDescent="0.45">
      <c r="A3" s="18" t="s">
        <v>3</v>
      </c>
      <c r="B3" s="18">
        <v>2025</v>
      </c>
      <c r="C3" s="42">
        <v>348819.7099999999</v>
      </c>
    </row>
    <row r="4" spans="1:6" ht="23.4" x14ac:dyDescent="0.45">
      <c r="A4" s="18" t="s">
        <v>13</v>
      </c>
      <c r="B4" s="18">
        <v>2025</v>
      </c>
      <c r="C4" s="42">
        <v>447853.12000000034</v>
      </c>
    </row>
    <row r="5" spans="1:6" ht="23.4" x14ac:dyDescent="0.45">
      <c r="A5" s="18" t="s">
        <v>4</v>
      </c>
      <c r="B5" s="18">
        <v>2025</v>
      </c>
      <c r="C5" s="42">
        <v>330908.61</v>
      </c>
    </row>
    <row r="6" spans="1:6" ht="23.4" x14ac:dyDescent="0.45">
      <c r="A6" s="18" t="s">
        <v>91</v>
      </c>
      <c r="B6" s="18">
        <v>2025</v>
      </c>
      <c r="C6" s="42">
        <v>418740.03000000009</v>
      </c>
    </row>
    <row r="7" spans="1:6" ht="23.4" x14ac:dyDescent="0.45">
      <c r="A7" s="18" t="s">
        <v>92</v>
      </c>
      <c r="B7" s="18">
        <v>2025</v>
      </c>
      <c r="C7" s="42">
        <v>522193.95999999996</v>
      </c>
    </row>
    <row r="8" spans="1:6" ht="23.4" x14ac:dyDescent="0.45">
      <c r="A8" s="18" t="s">
        <v>93</v>
      </c>
      <c r="B8" s="18">
        <v>2025</v>
      </c>
      <c r="C8" s="42">
        <v>666878.2999999997</v>
      </c>
    </row>
    <row r="9" spans="1:6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6" ht="23.4" x14ac:dyDescent="0.45">
      <c r="A10" s="18" t="s">
        <v>98</v>
      </c>
      <c r="B10" s="18">
        <v>2025</v>
      </c>
      <c r="C10" s="42">
        <v>944942.41</v>
      </c>
    </row>
    <row r="11" spans="1:6" ht="23.4" x14ac:dyDescent="0.45">
      <c r="A11" s="18" t="s">
        <v>100</v>
      </c>
      <c r="B11" s="18">
        <v>2025</v>
      </c>
      <c r="C11" s="42">
        <v>814941.29999999993</v>
      </c>
    </row>
    <row r="12" spans="1:6" ht="23.4" x14ac:dyDescent="0.45">
      <c r="A12" s="18" t="s">
        <v>107</v>
      </c>
      <c r="B12" s="18">
        <v>2025</v>
      </c>
      <c r="C12" s="42">
        <v>1146189.1299999999</v>
      </c>
    </row>
    <row r="13" spans="1:6" ht="23.4" x14ac:dyDescent="0.45">
      <c r="A13" s="18" t="s">
        <v>108</v>
      </c>
      <c r="B13" s="18">
        <v>2025</v>
      </c>
      <c r="C13" s="42">
        <v>1080216.8400000001</v>
      </c>
    </row>
    <row r="14" spans="1:6" x14ac:dyDescent="0.3">
      <c r="A14" s="18" t="s">
        <v>2</v>
      </c>
      <c r="B14" s="18">
        <v>2026</v>
      </c>
      <c r="C14" s="49">
        <v>796774.31</v>
      </c>
      <c r="F14" s="95"/>
    </row>
    <row r="15" spans="1:6" x14ac:dyDescent="0.3">
      <c r="A15" s="18" t="s">
        <v>3</v>
      </c>
      <c r="B15" s="18">
        <v>2026</v>
      </c>
      <c r="C15" s="49">
        <v>873010.16</v>
      </c>
    </row>
    <row r="16" spans="1:6" x14ac:dyDescent="0.3">
      <c r="A16" s="18" t="s">
        <v>13</v>
      </c>
      <c r="B16" s="18">
        <v>2026</v>
      </c>
      <c r="C16" s="49">
        <v>1109541.51</v>
      </c>
    </row>
    <row r="17" spans="1:3" x14ac:dyDescent="0.3">
      <c r="A17" s="18" t="s">
        <v>4</v>
      </c>
      <c r="B17" s="18">
        <v>2026</v>
      </c>
      <c r="C17" s="49">
        <v>1308276.06</v>
      </c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9C8B-021B-4C91-98C9-F494BEFC454F}">
  <dimension ref="A1:B3552"/>
  <sheetViews>
    <sheetView topLeftCell="A3541" workbookViewId="0">
      <selection activeCell="D3556" sqref="D3556"/>
    </sheetView>
  </sheetViews>
  <sheetFormatPr defaultRowHeight="15.6" x14ac:dyDescent="0.3"/>
  <cols>
    <col min="1" max="1" width="46.796875" bestFit="1" customWidth="1"/>
    <col min="2" max="2" width="18.296875" bestFit="1" customWidth="1"/>
  </cols>
  <sheetData>
    <row r="1" spans="1:2" x14ac:dyDescent="0.3">
      <c r="A1" s="113" t="s">
        <v>101</v>
      </c>
      <c r="B1" s="113" t="s">
        <v>17</v>
      </c>
    </row>
    <row r="2" spans="1:2" x14ac:dyDescent="0.3">
      <c r="A2" s="113" t="s">
        <v>101</v>
      </c>
      <c r="B2" s="113" t="s">
        <v>17</v>
      </c>
    </row>
    <row r="3" spans="1:2" x14ac:dyDescent="0.3">
      <c r="A3" s="113" t="s">
        <v>16</v>
      </c>
      <c r="B3" s="113" t="s">
        <v>17</v>
      </c>
    </row>
    <row r="4" spans="1:2" x14ac:dyDescent="0.3">
      <c r="A4" s="113" t="s">
        <v>16</v>
      </c>
      <c r="B4" s="113" t="s">
        <v>17</v>
      </c>
    </row>
    <row r="5" spans="1:2" x14ac:dyDescent="0.3">
      <c r="A5" s="113" t="s">
        <v>14</v>
      </c>
      <c r="B5" s="113" t="s">
        <v>15</v>
      </c>
    </row>
    <row r="6" spans="1:2" x14ac:dyDescent="0.3">
      <c r="A6" s="113" t="s">
        <v>14</v>
      </c>
      <c r="B6" s="113" t="s">
        <v>15</v>
      </c>
    </row>
    <row r="7" spans="1:2" x14ac:dyDescent="0.3">
      <c r="A7" s="113" t="s">
        <v>14</v>
      </c>
      <c r="B7" s="113" t="s">
        <v>15</v>
      </c>
    </row>
    <row r="8" spans="1:2" x14ac:dyDescent="0.3">
      <c r="A8" s="113" t="s">
        <v>14</v>
      </c>
      <c r="B8" s="113" t="s">
        <v>15</v>
      </c>
    </row>
    <row r="9" spans="1:2" x14ac:dyDescent="0.3">
      <c r="A9" s="113" t="s">
        <v>14</v>
      </c>
      <c r="B9" s="113" t="s">
        <v>15</v>
      </c>
    </row>
    <row r="10" spans="1:2" x14ac:dyDescent="0.3">
      <c r="A10" s="113" t="s">
        <v>14</v>
      </c>
      <c r="B10" s="113" t="s">
        <v>15</v>
      </c>
    </row>
    <row r="11" spans="1:2" x14ac:dyDescent="0.3">
      <c r="A11" s="113" t="s">
        <v>14</v>
      </c>
      <c r="B11" s="113" t="s">
        <v>15</v>
      </c>
    </row>
    <row r="12" spans="1:2" x14ac:dyDescent="0.3">
      <c r="A12" s="113" t="s">
        <v>14</v>
      </c>
      <c r="B12" s="113" t="s">
        <v>15</v>
      </c>
    </row>
    <row r="13" spans="1:2" x14ac:dyDescent="0.3">
      <c r="A13" s="113" t="s">
        <v>14</v>
      </c>
      <c r="B13" s="113" t="s">
        <v>15</v>
      </c>
    </row>
    <row r="14" spans="1:2" x14ac:dyDescent="0.3">
      <c r="A14" s="113" t="s">
        <v>14</v>
      </c>
      <c r="B14" s="113" t="s">
        <v>15</v>
      </c>
    </row>
    <row r="15" spans="1:2" x14ac:dyDescent="0.3">
      <c r="A15" s="113" t="s">
        <v>14</v>
      </c>
      <c r="B15" s="113" t="s">
        <v>15</v>
      </c>
    </row>
    <row r="16" spans="1:2" x14ac:dyDescent="0.3">
      <c r="A16" s="113" t="s">
        <v>14</v>
      </c>
      <c r="B16" s="113" t="s">
        <v>15</v>
      </c>
    </row>
    <row r="17" spans="1:2" x14ac:dyDescent="0.3">
      <c r="A17" s="113" t="s">
        <v>14</v>
      </c>
      <c r="B17" s="113" t="s">
        <v>15</v>
      </c>
    </row>
    <row r="18" spans="1:2" x14ac:dyDescent="0.3">
      <c r="A18" s="113" t="s">
        <v>14</v>
      </c>
      <c r="B18" s="113" t="s">
        <v>15</v>
      </c>
    </row>
    <row r="19" spans="1:2" x14ac:dyDescent="0.3">
      <c r="A19" s="113" t="s">
        <v>14</v>
      </c>
      <c r="B19" s="113" t="s">
        <v>15</v>
      </c>
    </row>
    <row r="20" spans="1:2" x14ac:dyDescent="0.3">
      <c r="A20" s="113" t="s">
        <v>14</v>
      </c>
      <c r="B20" s="113" t="s">
        <v>15</v>
      </c>
    </row>
    <row r="21" spans="1:2" x14ac:dyDescent="0.3">
      <c r="A21" s="113" t="s">
        <v>14</v>
      </c>
      <c r="B21" s="113" t="s">
        <v>15</v>
      </c>
    </row>
    <row r="22" spans="1:2" x14ac:dyDescent="0.3">
      <c r="A22" s="113" t="s">
        <v>14</v>
      </c>
      <c r="B22" s="113" t="s">
        <v>15</v>
      </c>
    </row>
    <row r="23" spans="1:2" x14ac:dyDescent="0.3">
      <c r="A23" s="113" t="s">
        <v>14</v>
      </c>
      <c r="B23" s="113" t="s">
        <v>15</v>
      </c>
    </row>
    <row r="24" spans="1:2" x14ac:dyDescent="0.3">
      <c r="A24" s="113" t="s">
        <v>14</v>
      </c>
      <c r="B24" s="113" t="s">
        <v>15</v>
      </c>
    </row>
    <row r="25" spans="1:2" x14ac:dyDescent="0.3">
      <c r="A25" s="113" t="s">
        <v>14</v>
      </c>
      <c r="B25" s="113" t="s">
        <v>15</v>
      </c>
    </row>
    <row r="26" spans="1:2" x14ac:dyDescent="0.3">
      <c r="A26" s="113" t="s">
        <v>14</v>
      </c>
      <c r="B26" s="113" t="s">
        <v>15</v>
      </c>
    </row>
    <row r="27" spans="1:2" x14ac:dyDescent="0.3">
      <c r="A27" s="113" t="s">
        <v>14</v>
      </c>
      <c r="B27" s="113" t="s">
        <v>15</v>
      </c>
    </row>
    <row r="28" spans="1:2" x14ac:dyDescent="0.3">
      <c r="A28" s="113" t="s">
        <v>14</v>
      </c>
      <c r="B28" s="113" t="s">
        <v>15</v>
      </c>
    </row>
    <row r="29" spans="1:2" x14ac:dyDescent="0.3">
      <c r="A29" s="113" t="s">
        <v>14</v>
      </c>
      <c r="B29" s="113" t="s">
        <v>15</v>
      </c>
    </row>
    <row r="30" spans="1:2" x14ac:dyDescent="0.3">
      <c r="A30" s="113" t="s">
        <v>14</v>
      </c>
      <c r="B30" s="113" t="s">
        <v>15</v>
      </c>
    </row>
    <row r="31" spans="1:2" x14ac:dyDescent="0.3">
      <c r="A31" s="113" t="s">
        <v>14</v>
      </c>
      <c r="B31" s="113" t="s">
        <v>15</v>
      </c>
    </row>
    <row r="32" spans="1:2" x14ac:dyDescent="0.3">
      <c r="A32" s="113" t="s">
        <v>18</v>
      </c>
      <c r="B32" s="113" t="s">
        <v>115</v>
      </c>
    </row>
    <row r="33" spans="1:2" x14ac:dyDescent="0.3">
      <c r="A33" s="113" t="s">
        <v>18</v>
      </c>
      <c r="B33" s="113" t="s">
        <v>115</v>
      </c>
    </row>
    <row r="34" spans="1:2" x14ac:dyDescent="0.3">
      <c r="A34" s="113" t="s">
        <v>18</v>
      </c>
      <c r="B34" s="113" t="s">
        <v>115</v>
      </c>
    </row>
    <row r="35" spans="1:2" x14ac:dyDescent="0.3">
      <c r="A35" s="113" t="s">
        <v>18</v>
      </c>
      <c r="B35" s="113" t="s">
        <v>115</v>
      </c>
    </row>
    <row r="36" spans="1:2" x14ac:dyDescent="0.3">
      <c r="A36" s="113" t="s">
        <v>18</v>
      </c>
      <c r="B36" s="113" t="s">
        <v>115</v>
      </c>
    </row>
    <row r="37" spans="1:2" x14ac:dyDescent="0.3">
      <c r="A37" s="113" t="s">
        <v>18</v>
      </c>
      <c r="B37" s="113" t="s">
        <v>115</v>
      </c>
    </row>
    <row r="38" spans="1:2" x14ac:dyDescent="0.3">
      <c r="A38" s="113" t="s">
        <v>18</v>
      </c>
      <c r="B38" s="113" t="s">
        <v>115</v>
      </c>
    </row>
    <row r="39" spans="1:2" x14ac:dyDescent="0.3">
      <c r="A39" s="113" t="s">
        <v>18</v>
      </c>
      <c r="B39" s="113" t="s">
        <v>115</v>
      </c>
    </row>
    <row r="40" spans="1:2" x14ac:dyDescent="0.3">
      <c r="A40" s="113" t="s">
        <v>18</v>
      </c>
      <c r="B40" s="113" t="s">
        <v>115</v>
      </c>
    </row>
    <row r="41" spans="1:2" x14ac:dyDescent="0.3">
      <c r="A41" s="113" t="s">
        <v>18</v>
      </c>
      <c r="B41" s="113" t="s">
        <v>115</v>
      </c>
    </row>
    <row r="42" spans="1:2" x14ac:dyDescent="0.3">
      <c r="A42" s="113" t="s">
        <v>18</v>
      </c>
      <c r="B42" s="113" t="s">
        <v>115</v>
      </c>
    </row>
    <row r="43" spans="1:2" x14ac:dyDescent="0.3">
      <c r="A43" s="113" t="s">
        <v>18</v>
      </c>
      <c r="B43" s="113" t="s">
        <v>115</v>
      </c>
    </row>
    <row r="44" spans="1:2" x14ac:dyDescent="0.3">
      <c r="A44" s="113" t="s">
        <v>18</v>
      </c>
      <c r="B44" s="113" t="s">
        <v>115</v>
      </c>
    </row>
    <row r="45" spans="1:2" x14ac:dyDescent="0.3">
      <c r="A45" s="113" t="s">
        <v>18</v>
      </c>
      <c r="B45" s="113" t="s">
        <v>115</v>
      </c>
    </row>
    <row r="46" spans="1:2" x14ac:dyDescent="0.3">
      <c r="A46" s="113" t="s">
        <v>18</v>
      </c>
      <c r="B46" s="113" t="s">
        <v>115</v>
      </c>
    </row>
    <row r="47" spans="1:2" x14ac:dyDescent="0.3">
      <c r="A47" s="113" t="s">
        <v>18</v>
      </c>
      <c r="B47" s="113" t="s">
        <v>115</v>
      </c>
    </row>
    <row r="48" spans="1:2" x14ac:dyDescent="0.3">
      <c r="A48" s="113" t="s">
        <v>18</v>
      </c>
      <c r="B48" s="113" t="s">
        <v>115</v>
      </c>
    </row>
    <row r="49" spans="1:2" x14ac:dyDescent="0.3">
      <c r="A49" s="113" t="s">
        <v>18</v>
      </c>
      <c r="B49" s="113" t="s">
        <v>115</v>
      </c>
    </row>
    <row r="50" spans="1:2" x14ac:dyDescent="0.3">
      <c r="A50" s="113" t="s">
        <v>18</v>
      </c>
      <c r="B50" s="113" t="s">
        <v>115</v>
      </c>
    </row>
    <row r="51" spans="1:2" x14ac:dyDescent="0.3">
      <c r="A51" s="113" t="s">
        <v>18</v>
      </c>
      <c r="B51" s="113" t="s">
        <v>115</v>
      </c>
    </row>
    <row r="52" spans="1:2" x14ac:dyDescent="0.3">
      <c r="A52" s="113" t="s">
        <v>18</v>
      </c>
      <c r="B52" s="113" t="s">
        <v>115</v>
      </c>
    </row>
    <row r="53" spans="1:2" x14ac:dyDescent="0.3">
      <c r="A53" s="113" t="s">
        <v>18</v>
      </c>
      <c r="B53" s="113" t="s">
        <v>115</v>
      </c>
    </row>
    <row r="54" spans="1:2" x14ac:dyDescent="0.3">
      <c r="A54" s="113" t="s">
        <v>18</v>
      </c>
      <c r="B54" s="113" t="s">
        <v>115</v>
      </c>
    </row>
    <row r="55" spans="1:2" x14ac:dyDescent="0.3">
      <c r="A55" s="113" t="s">
        <v>18</v>
      </c>
      <c r="B55" s="113" t="s">
        <v>115</v>
      </c>
    </row>
    <row r="56" spans="1:2" x14ac:dyDescent="0.3">
      <c r="A56" s="113" t="s">
        <v>18</v>
      </c>
      <c r="B56" s="113" t="s">
        <v>115</v>
      </c>
    </row>
    <row r="57" spans="1:2" x14ac:dyDescent="0.3">
      <c r="A57" s="113" t="s">
        <v>18</v>
      </c>
      <c r="B57" s="113" t="s">
        <v>115</v>
      </c>
    </row>
    <row r="58" spans="1:2" x14ac:dyDescent="0.3">
      <c r="A58" s="113" t="s">
        <v>18</v>
      </c>
      <c r="B58" s="113" t="s">
        <v>115</v>
      </c>
    </row>
    <row r="59" spans="1:2" x14ac:dyDescent="0.3">
      <c r="A59" s="113" t="s">
        <v>18</v>
      </c>
      <c r="B59" s="113" t="s">
        <v>115</v>
      </c>
    </row>
    <row r="60" spans="1:2" x14ac:dyDescent="0.3">
      <c r="A60" s="113" t="s">
        <v>18</v>
      </c>
      <c r="B60" s="113" t="s">
        <v>115</v>
      </c>
    </row>
    <row r="61" spans="1:2" x14ac:dyDescent="0.3">
      <c r="A61" s="113" t="s">
        <v>18</v>
      </c>
      <c r="B61" s="113" t="s">
        <v>115</v>
      </c>
    </row>
    <row r="62" spans="1:2" x14ac:dyDescent="0.3">
      <c r="A62" s="113" t="s">
        <v>18</v>
      </c>
      <c r="B62" s="113" t="s">
        <v>115</v>
      </c>
    </row>
    <row r="63" spans="1:2" x14ac:dyDescent="0.3">
      <c r="A63" s="113" t="s">
        <v>18</v>
      </c>
      <c r="B63" s="113" t="s">
        <v>115</v>
      </c>
    </row>
    <row r="64" spans="1:2" x14ac:dyDescent="0.3">
      <c r="A64" s="113" t="s">
        <v>18</v>
      </c>
      <c r="B64" s="113" t="s">
        <v>115</v>
      </c>
    </row>
    <row r="65" spans="1:2" x14ac:dyDescent="0.3">
      <c r="A65" s="113" t="s">
        <v>18</v>
      </c>
      <c r="B65" s="113" t="s">
        <v>115</v>
      </c>
    </row>
    <row r="66" spans="1:2" x14ac:dyDescent="0.3">
      <c r="A66" s="113" t="s">
        <v>18</v>
      </c>
      <c r="B66" s="113" t="s">
        <v>115</v>
      </c>
    </row>
    <row r="67" spans="1:2" x14ac:dyDescent="0.3">
      <c r="A67" s="113" t="s">
        <v>18</v>
      </c>
      <c r="B67" s="113" t="s">
        <v>115</v>
      </c>
    </row>
    <row r="68" spans="1:2" x14ac:dyDescent="0.3">
      <c r="A68" s="113" t="s">
        <v>18</v>
      </c>
      <c r="B68" s="113" t="s">
        <v>115</v>
      </c>
    </row>
    <row r="69" spans="1:2" x14ac:dyDescent="0.3">
      <c r="A69" s="113" t="s">
        <v>18</v>
      </c>
      <c r="B69" s="113" t="s">
        <v>115</v>
      </c>
    </row>
    <row r="70" spans="1:2" x14ac:dyDescent="0.3">
      <c r="A70" s="113" t="s">
        <v>18</v>
      </c>
      <c r="B70" s="113" t="s">
        <v>115</v>
      </c>
    </row>
    <row r="71" spans="1:2" x14ac:dyDescent="0.3">
      <c r="A71" s="113" t="s">
        <v>18</v>
      </c>
      <c r="B71" s="113" t="s">
        <v>115</v>
      </c>
    </row>
    <row r="72" spans="1:2" x14ac:dyDescent="0.3">
      <c r="A72" s="113" t="s">
        <v>18</v>
      </c>
      <c r="B72" s="113" t="s">
        <v>115</v>
      </c>
    </row>
    <row r="73" spans="1:2" x14ac:dyDescent="0.3">
      <c r="A73" s="113" t="s">
        <v>18</v>
      </c>
      <c r="B73" s="113" t="s">
        <v>115</v>
      </c>
    </row>
    <row r="74" spans="1:2" x14ac:dyDescent="0.3">
      <c r="A74" s="113" t="s">
        <v>18</v>
      </c>
      <c r="B74" s="113" t="s">
        <v>115</v>
      </c>
    </row>
    <row r="75" spans="1:2" x14ac:dyDescent="0.3">
      <c r="A75" s="113" t="s">
        <v>18</v>
      </c>
      <c r="B75" s="113" t="s">
        <v>115</v>
      </c>
    </row>
    <row r="76" spans="1:2" x14ac:dyDescent="0.3">
      <c r="A76" s="113" t="s">
        <v>18</v>
      </c>
      <c r="B76" s="113" t="s">
        <v>115</v>
      </c>
    </row>
    <row r="77" spans="1:2" x14ac:dyDescent="0.3">
      <c r="A77" s="113" t="s">
        <v>18</v>
      </c>
      <c r="B77" s="113" t="s">
        <v>115</v>
      </c>
    </row>
    <row r="78" spans="1:2" x14ac:dyDescent="0.3">
      <c r="A78" s="113" t="s">
        <v>18</v>
      </c>
      <c r="B78" s="113" t="s">
        <v>115</v>
      </c>
    </row>
    <row r="79" spans="1:2" x14ac:dyDescent="0.3">
      <c r="A79" s="113" t="s">
        <v>18</v>
      </c>
      <c r="B79" s="113" t="s">
        <v>115</v>
      </c>
    </row>
    <row r="80" spans="1:2" x14ac:dyDescent="0.3">
      <c r="A80" s="113" t="s">
        <v>18</v>
      </c>
      <c r="B80" s="113" t="s">
        <v>115</v>
      </c>
    </row>
    <row r="81" spans="1:2" x14ac:dyDescent="0.3">
      <c r="A81" s="113" t="s">
        <v>18</v>
      </c>
      <c r="B81" s="113" t="s">
        <v>115</v>
      </c>
    </row>
    <row r="82" spans="1:2" x14ac:dyDescent="0.3">
      <c r="A82" s="113" t="s">
        <v>18</v>
      </c>
      <c r="B82" s="113" t="s">
        <v>115</v>
      </c>
    </row>
    <row r="83" spans="1:2" x14ac:dyDescent="0.3">
      <c r="A83" s="113" t="s">
        <v>18</v>
      </c>
      <c r="B83" s="113" t="s">
        <v>115</v>
      </c>
    </row>
    <row r="84" spans="1:2" x14ac:dyDescent="0.3">
      <c r="A84" s="113" t="s">
        <v>18</v>
      </c>
      <c r="B84" s="113" t="s">
        <v>115</v>
      </c>
    </row>
    <row r="85" spans="1:2" x14ac:dyDescent="0.3">
      <c r="A85" s="113" t="s">
        <v>18</v>
      </c>
      <c r="B85" s="113" t="s">
        <v>115</v>
      </c>
    </row>
    <row r="86" spans="1:2" x14ac:dyDescent="0.3">
      <c r="A86" s="113" t="s">
        <v>18</v>
      </c>
      <c r="B86" s="113" t="s">
        <v>115</v>
      </c>
    </row>
    <row r="87" spans="1:2" x14ac:dyDescent="0.3">
      <c r="A87" s="113" t="s">
        <v>18</v>
      </c>
      <c r="B87" s="113" t="s">
        <v>115</v>
      </c>
    </row>
    <row r="88" spans="1:2" x14ac:dyDescent="0.3">
      <c r="A88" s="113" t="s">
        <v>18</v>
      </c>
      <c r="B88" s="113" t="s">
        <v>115</v>
      </c>
    </row>
    <row r="89" spans="1:2" x14ac:dyDescent="0.3">
      <c r="A89" s="113" t="s">
        <v>18</v>
      </c>
      <c r="B89" s="113" t="s">
        <v>115</v>
      </c>
    </row>
    <row r="90" spans="1:2" x14ac:dyDescent="0.3">
      <c r="A90" s="113" t="s">
        <v>18</v>
      </c>
      <c r="B90" s="113" t="s">
        <v>115</v>
      </c>
    </row>
    <row r="91" spans="1:2" x14ac:dyDescent="0.3">
      <c r="A91" s="113" t="s">
        <v>18</v>
      </c>
      <c r="B91" s="113" t="s">
        <v>115</v>
      </c>
    </row>
    <row r="92" spans="1:2" x14ac:dyDescent="0.3">
      <c r="A92" s="113" t="s">
        <v>18</v>
      </c>
      <c r="B92" s="113" t="s">
        <v>115</v>
      </c>
    </row>
    <row r="93" spans="1:2" x14ac:dyDescent="0.3">
      <c r="A93" s="113" t="s">
        <v>18</v>
      </c>
      <c r="B93" s="113" t="s">
        <v>115</v>
      </c>
    </row>
    <row r="94" spans="1:2" x14ac:dyDescent="0.3">
      <c r="A94" s="113" t="s">
        <v>18</v>
      </c>
      <c r="B94" s="113" t="s">
        <v>115</v>
      </c>
    </row>
    <row r="95" spans="1:2" x14ac:dyDescent="0.3">
      <c r="A95" s="113" t="s">
        <v>18</v>
      </c>
      <c r="B95" s="113" t="s">
        <v>115</v>
      </c>
    </row>
    <row r="96" spans="1:2" x14ac:dyDescent="0.3">
      <c r="A96" s="113" t="s">
        <v>18</v>
      </c>
      <c r="B96" s="113" t="s">
        <v>115</v>
      </c>
    </row>
    <row r="97" spans="1:2" x14ac:dyDescent="0.3">
      <c r="A97" s="113" t="s">
        <v>18</v>
      </c>
      <c r="B97" s="113" t="s">
        <v>115</v>
      </c>
    </row>
    <row r="98" spans="1:2" x14ac:dyDescent="0.3">
      <c r="A98" s="113" t="s">
        <v>18</v>
      </c>
      <c r="B98" s="113" t="s">
        <v>115</v>
      </c>
    </row>
    <row r="99" spans="1:2" x14ac:dyDescent="0.3">
      <c r="A99" s="113" t="s">
        <v>18</v>
      </c>
      <c r="B99" s="113" t="s">
        <v>115</v>
      </c>
    </row>
    <row r="100" spans="1:2" x14ac:dyDescent="0.3">
      <c r="A100" s="113" t="s">
        <v>18</v>
      </c>
      <c r="B100" s="113" t="s">
        <v>115</v>
      </c>
    </row>
    <row r="101" spans="1:2" x14ac:dyDescent="0.3">
      <c r="A101" s="113" t="s">
        <v>18</v>
      </c>
      <c r="B101" s="113" t="s">
        <v>115</v>
      </c>
    </row>
    <row r="102" spans="1:2" x14ac:dyDescent="0.3">
      <c r="A102" s="113" t="s">
        <v>18</v>
      </c>
      <c r="B102" s="113" t="s">
        <v>115</v>
      </c>
    </row>
    <row r="103" spans="1:2" x14ac:dyDescent="0.3">
      <c r="A103" s="113" t="s">
        <v>18</v>
      </c>
      <c r="B103" s="113" t="s">
        <v>115</v>
      </c>
    </row>
    <row r="104" spans="1:2" x14ac:dyDescent="0.3">
      <c r="A104" s="113" t="s">
        <v>18</v>
      </c>
      <c r="B104" s="113" t="s">
        <v>115</v>
      </c>
    </row>
    <row r="105" spans="1:2" x14ac:dyDescent="0.3">
      <c r="A105" s="113" t="s">
        <v>18</v>
      </c>
      <c r="B105" s="113" t="s">
        <v>115</v>
      </c>
    </row>
    <row r="106" spans="1:2" x14ac:dyDescent="0.3">
      <c r="A106" s="113" t="s">
        <v>18</v>
      </c>
      <c r="B106" s="113" t="s">
        <v>115</v>
      </c>
    </row>
    <row r="107" spans="1:2" x14ac:dyDescent="0.3">
      <c r="A107" s="113" t="s">
        <v>18</v>
      </c>
      <c r="B107" s="113" t="s">
        <v>115</v>
      </c>
    </row>
    <row r="108" spans="1:2" x14ac:dyDescent="0.3">
      <c r="A108" s="113" t="s">
        <v>18</v>
      </c>
      <c r="B108" s="113" t="s">
        <v>115</v>
      </c>
    </row>
    <row r="109" spans="1:2" x14ac:dyDescent="0.3">
      <c r="A109" s="113" t="s">
        <v>18</v>
      </c>
      <c r="B109" s="113" t="s">
        <v>115</v>
      </c>
    </row>
    <row r="110" spans="1:2" x14ac:dyDescent="0.3">
      <c r="A110" s="113" t="s">
        <v>18</v>
      </c>
      <c r="B110" s="113" t="s">
        <v>115</v>
      </c>
    </row>
    <row r="111" spans="1:2" x14ac:dyDescent="0.3">
      <c r="A111" s="113" t="s">
        <v>18</v>
      </c>
      <c r="B111" s="113" t="s">
        <v>115</v>
      </c>
    </row>
    <row r="112" spans="1:2" x14ac:dyDescent="0.3">
      <c r="A112" s="113" t="s">
        <v>18</v>
      </c>
      <c r="B112" s="113" t="s">
        <v>115</v>
      </c>
    </row>
    <row r="113" spans="1:2" x14ac:dyDescent="0.3">
      <c r="A113" s="113" t="s">
        <v>18</v>
      </c>
      <c r="B113" s="113" t="s">
        <v>115</v>
      </c>
    </row>
    <row r="114" spans="1:2" x14ac:dyDescent="0.3">
      <c r="A114" s="113" t="s">
        <v>18</v>
      </c>
      <c r="B114" s="113" t="s">
        <v>115</v>
      </c>
    </row>
    <row r="115" spans="1:2" x14ac:dyDescent="0.3">
      <c r="A115" s="113" t="s">
        <v>18</v>
      </c>
      <c r="B115" s="113" t="s">
        <v>115</v>
      </c>
    </row>
    <row r="116" spans="1:2" x14ac:dyDescent="0.3">
      <c r="A116" s="113" t="s">
        <v>18</v>
      </c>
      <c r="B116" s="113" t="s">
        <v>115</v>
      </c>
    </row>
    <row r="117" spans="1:2" x14ac:dyDescent="0.3">
      <c r="A117" s="113" t="s">
        <v>18</v>
      </c>
      <c r="B117" s="113" t="s">
        <v>115</v>
      </c>
    </row>
    <row r="118" spans="1:2" x14ac:dyDescent="0.3">
      <c r="A118" s="113" t="s">
        <v>18</v>
      </c>
      <c r="B118" s="113" t="s">
        <v>115</v>
      </c>
    </row>
    <row r="119" spans="1:2" x14ac:dyDescent="0.3">
      <c r="A119" s="113" t="s">
        <v>18</v>
      </c>
      <c r="B119" s="113" t="s">
        <v>115</v>
      </c>
    </row>
    <row r="120" spans="1:2" x14ac:dyDescent="0.3">
      <c r="A120" s="113" t="s">
        <v>18</v>
      </c>
      <c r="B120" s="113" t="s">
        <v>115</v>
      </c>
    </row>
    <row r="121" spans="1:2" x14ac:dyDescent="0.3">
      <c r="A121" s="113" t="s">
        <v>18</v>
      </c>
      <c r="B121" s="113" t="s">
        <v>115</v>
      </c>
    </row>
    <row r="122" spans="1:2" x14ac:dyDescent="0.3">
      <c r="A122" s="113" t="s">
        <v>18</v>
      </c>
      <c r="B122" s="113" t="s">
        <v>115</v>
      </c>
    </row>
    <row r="123" spans="1:2" x14ac:dyDescent="0.3">
      <c r="A123" s="113" t="s">
        <v>18</v>
      </c>
      <c r="B123" s="113" t="s">
        <v>115</v>
      </c>
    </row>
    <row r="124" spans="1:2" x14ac:dyDescent="0.3">
      <c r="A124" s="113" t="s">
        <v>18</v>
      </c>
      <c r="B124" s="113" t="s">
        <v>115</v>
      </c>
    </row>
    <row r="125" spans="1:2" x14ac:dyDescent="0.3">
      <c r="A125" s="113" t="s">
        <v>18</v>
      </c>
      <c r="B125" s="113" t="s">
        <v>115</v>
      </c>
    </row>
    <row r="126" spans="1:2" x14ac:dyDescent="0.3">
      <c r="A126" s="113" t="s">
        <v>18</v>
      </c>
      <c r="B126" s="113" t="s">
        <v>115</v>
      </c>
    </row>
    <row r="127" spans="1:2" x14ac:dyDescent="0.3">
      <c r="A127" s="113" t="s">
        <v>18</v>
      </c>
      <c r="B127" s="113" t="s">
        <v>115</v>
      </c>
    </row>
    <row r="128" spans="1:2" x14ac:dyDescent="0.3">
      <c r="A128" s="113" t="s">
        <v>18</v>
      </c>
      <c r="B128" s="113" t="s">
        <v>115</v>
      </c>
    </row>
    <row r="129" spans="1:2" x14ac:dyDescent="0.3">
      <c r="A129" s="113" t="s">
        <v>18</v>
      </c>
      <c r="B129" s="113" t="s">
        <v>115</v>
      </c>
    </row>
    <row r="130" spans="1:2" x14ac:dyDescent="0.3">
      <c r="A130" s="113" t="s">
        <v>18</v>
      </c>
      <c r="B130" s="113" t="s">
        <v>115</v>
      </c>
    </row>
    <row r="131" spans="1:2" x14ac:dyDescent="0.3">
      <c r="A131" s="113" t="s">
        <v>18</v>
      </c>
      <c r="B131" s="113" t="s">
        <v>115</v>
      </c>
    </row>
    <row r="132" spans="1:2" x14ac:dyDescent="0.3">
      <c r="A132" s="113" t="s">
        <v>18</v>
      </c>
      <c r="B132" s="113" t="s">
        <v>115</v>
      </c>
    </row>
    <row r="133" spans="1:2" x14ac:dyDescent="0.3">
      <c r="A133" s="113" t="s">
        <v>18</v>
      </c>
      <c r="B133" s="113" t="s">
        <v>115</v>
      </c>
    </row>
    <row r="134" spans="1:2" x14ac:dyDescent="0.3">
      <c r="A134" s="113" t="s">
        <v>18</v>
      </c>
      <c r="B134" s="113" t="s">
        <v>115</v>
      </c>
    </row>
    <row r="135" spans="1:2" x14ac:dyDescent="0.3">
      <c r="A135" s="113" t="s">
        <v>18</v>
      </c>
      <c r="B135" s="113" t="s">
        <v>115</v>
      </c>
    </row>
    <row r="136" spans="1:2" x14ac:dyDescent="0.3">
      <c r="A136" s="113" t="s">
        <v>18</v>
      </c>
      <c r="B136" s="113" t="s">
        <v>115</v>
      </c>
    </row>
    <row r="137" spans="1:2" x14ac:dyDescent="0.3">
      <c r="A137" s="113" t="s">
        <v>18</v>
      </c>
      <c r="B137" s="113" t="s">
        <v>115</v>
      </c>
    </row>
    <row r="138" spans="1:2" x14ac:dyDescent="0.3">
      <c r="A138" s="113" t="s">
        <v>18</v>
      </c>
      <c r="B138" s="113" t="s">
        <v>115</v>
      </c>
    </row>
    <row r="139" spans="1:2" x14ac:dyDescent="0.3">
      <c r="A139" s="113" t="s">
        <v>18</v>
      </c>
      <c r="B139" s="113" t="s">
        <v>115</v>
      </c>
    </row>
    <row r="140" spans="1:2" x14ac:dyDescent="0.3">
      <c r="A140" s="113" t="s">
        <v>18</v>
      </c>
      <c r="B140" s="113" t="s">
        <v>115</v>
      </c>
    </row>
    <row r="141" spans="1:2" x14ac:dyDescent="0.3">
      <c r="A141" s="113" t="s">
        <v>18</v>
      </c>
      <c r="B141" s="113" t="s">
        <v>115</v>
      </c>
    </row>
    <row r="142" spans="1:2" x14ac:dyDescent="0.3">
      <c r="A142" s="113" t="s">
        <v>18</v>
      </c>
      <c r="B142" s="113" t="s">
        <v>115</v>
      </c>
    </row>
    <row r="143" spans="1:2" x14ac:dyDescent="0.3">
      <c r="A143" s="113" t="s">
        <v>18</v>
      </c>
      <c r="B143" s="113" t="s">
        <v>115</v>
      </c>
    </row>
    <row r="144" spans="1:2" x14ac:dyDescent="0.3">
      <c r="A144" s="113" t="s">
        <v>18</v>
      </c>
      <c r="B144" s="113" t="s">
        <v>115</v>
      </c>
    </row>
    <row r="145" spans="1:2" x14ac:dyDescent="0.3">
      <c r="A145" s="113" t="s">
        <v>18</v>
      </c>
      <c r="B145" s="113" t="s">
        <v>115</v>
      </c>
    </row>
    <row r="146" spans="1:2" x14ac:dyDescent="0.3">
      <c r="A146" s="113" t="s">
        <v>18</v>
      </c>
      <c r="B146" s="113" t="s">
        <v>115</v>
      </c>
    </row>
    <row r="147" spans="1:2" x14ac:dyDescent="0.3">
      <c r="A147" s="113" t="s">
        <v>18</v>
      </c>
      <c r="B147" s="113" t="s">
        <v>115</v>
      </c>
    </row>
    <row r="148" spans="1:2" x14ac:dyDescent="0.3">
      <c r="A148" s="113" t="s">
        <v>18</v>
      </c>
      <c r="B148" s="113" t="s">
        <v>115</v>
      </c>
    </row>
    <row r="149" spans="1:2" x14ac:dyDescent="0.3">
      <c r="A149" s="113" t="s">
        <v>18</v>
      </c>
      <c r="B149" s="113" t="s">
        <v>115</v>
      </c>
    </row>
    <row r="150" spans="1:2" x14ac:dyDescent="0.3">
      <c r="A150" s="113" t="s">
        <v>18</v>
      </c>
      <c r="B150" s="113" t="s">
        <v>115</v>
      </c>
    </row>
    <row r="151" spans="1:2" x14ac:dyDescent="0.3">
      <c r="A151" s="113" t="s">
        <v>18</v>
      </c>
      <c r="B151" s="113" t="s">
        <v>115</v>
      </c>
    </row>
    <row r="152" spans="1:2" x14ac:dyDescent="0.3">
      <c r="A152" s="113" t="s">
        <v>18</v>
      </c>
      <c r="B152" s="113" t="s">
        <v>115</v>
      </c>
    </row>
    <row r="153" spans="1:2" x14ac:dyDescent="0.3">
      <c r="A153" s="113" t="s">
        <v>18</v>
      </c>
      <c r="B153" s="113" t="s">
        <v>115</v>
      </c>
    </row>
    <row r="154" spans="1:2" x14ac:dyDescent="0.3">
      <c r="A154" s="113" t="s">
        <v>18</v>
      </c>
      <c r="B154" s="113" t="s">
        <v>115</v>
      </c>
    </row>
    <row r="155" spans="1:2" x14ac:dyDescent="0.3">
      <c r="A155" s="113" t="s">
        <v>18</v>
      </c>
      <c r="B155" s="113" t="s">
        <v>115</v>
      </c>
    </row>
    <row r="156" spans="1:2" x14ac:dyDescent="0.3">
      <c r="A156" s="113" t="s">
        <v>18</v>
      </c>
      <c r="B156" s="113" t="s">
        <v>115</v>
      </c>
    </row>
    <row r="157" spans="1:2" x14ac:dyDescent="0.3">
      <c r="A157" s="113" t="s">
        <v>18</v>
      </c>
      <c r="B157" s="113" t="s">
        <v>115</v>
      </c>
    </row>
    <row r="158" spans="1:2" x14ac:dyDescent="0.3">
      <c r="A158" s="113" t="s">
        <v>18</v>
      </c>
      <c r="B158" s="113" t="s">
        <v>115</v>
      </c>
    </row>
    <row r="159" spans="1:2" x14ac:dyDescent="0.3">
      <c r="A159" s="113" t="s">
        <v>18</v>
      </c>
      <c r="B159" s="113" t="s">
        <v>115</v>
      </c>
    </row>
    <row r="160" spans="1:2" x14ac:dyDescent="0.3">
      <c r="A160" s="113" t="s">
        <v>18</v>
      </c>
      <c r="B160" s="113" t="s">
        <v>115</v>
      </c>
    </row>
    <row r="161" spans="1:2" x14ac:dyDescent="0.3">
      <c r="A161" s="113" t="s">
        <v>18</v>
      </c>
      <c r="B161" s="113" t="s">
        <v>115</v>
      </c>
    </row>
    <row r="162" spans="1:2" x14ac:dyDescent="0.3">
      <c r="A162" s="113" t="s">
        <v>18</v>
      </c>
      <c r="B162" s="113" t="s">
        <v>115</v>
      </c>
    </row>
    <row r="163" spans="1:2" x14ac:dyDescent="0.3">
      <c r="A163" s="113" t="s">
        <v>18</v>
      </c>
      <c r="B163" s="113" t="s">
        <v>115</v>
      </c>
    </row>
    <row r="164" spans="1:2" x14ac:dyDescent="0.3">
      <c r="A164" s="113" t="s">
        <v>18</v>
      </c>
      <c r="B164" s="113" t="s">
        <v>115</v>
      </c>
    </row>
    <row r="165" spans="1:2" x14ac:dyDescent="0.3">
      <c r="A165" s="113" t="s">
        <v>18</v>
      </c>
      <c r="B165" s="113" t="s">
        <v>115</v>
      </c>
    </row>
    <row r="166" spans="1:2" x14ac:dyDescent="0.3">
      <c r="A166" s="113" t="s">
        <v>18</v>
      </c>
      <c r="B166" s="113" t="s">
        <v>115</v>
      </c>
    </row>
    <row r="167" spans="1:2" x14ac:dyDescent="0.3">
      <c r="A167" s="113" t="s">
        <v>18</v>
      </c>
      <c r="B167" s="113" t="s">
        <v>115</v>
      </c>
    </row>
    <row r="168" spans="1:2" x14ac:dyDescent="0.3">
      <c r="A168" s="113" t="s">
        <v>18</v>
      </c>
      <c r="B168" s="113" t="s">
        <v>115</v>
      </c>
    </row>
    <row r="169" spans="1:2" x14ac:dyDescent="0.3">
      <c r="A169" s="113" t="s">
        <v>18</v>
      </c>
      <c r="B169" s="113" t="s">
        <v>115</v>
      </c>
    </row>
    <row r="170" spans="1:2" x14ac:dyDescent="0.3">
      <c r="A170" s="113" t="s">
        <v>18</v>
      </c>
      <c r="B170" s="113" t="s">
        <v>115</v>
      </c>
    </row>
    <row r="171" spans="1:2" x14ac:dyDescent="0.3">
      <c r="A171" s="113" t="s">
        <v>18</v>
      </c>
      <c r="B171" s="113" t="s">
        <v>115</v>
      </c>
    </row>
    <row r="172" spans="1:2" x14ac:dyDescent="0.3">
      <c r="A172" s="113" t="s">
        <v>18</v>
      </c>
      <c r="B172" s="113" t="s">
        <v>115</v>
      </c>
    </row>
    <row r="173" spans="1:2" x14ac:dyDescent="0.3">
      <c r="A173" s="113" t="s">
        <v>18</v>
      </c>
      <c r="B173" s="113" t="s">
        <v>115</v>
      </c>
    </row>
    <row r="174" spans="1:2" x14ac:dyDescent="0.3">
      <c r="A174" s="113" t="s">
        <v>18</v>
      </c>
      <c r="B174" s="113" t="s">
        <v>115</v>
      </c>
    </row>
    <row r="175" spans="1:2" x14ac:dyDescent="0.3">
      <c r="A175" s="113" t="s">
        <v>18</v>
      </c>
      <c r="B175" s="113" t="s">
        <v>115</v>
      </c>
    </row>
    <row r="176" spans="1:2" x14ac:dyDescent="0.3">
      <c r="A176" s="113" t="s">
        <v>18</v>
      </c>
      <c r="B176" s="113" t="s">
        <v>115</v>
      </c>
    </row>
    <row r="177" spans="1:2" x14ac:dyDescent="0.3">
      <c r="A177" s="113" t="s">
        <v>18</v>
      </c>
      <c r="B177" s="113" t="s">
        <v>115</v>
      </c>
    </row>
    <row r="178" spans="1:2" x14ac:dyDescent="0.3">
      <c r="A178" s="113" t="s">
        <v>18</v>
      </c>
      <c r="B178" s="113" t="s">
        <v>115</v>
      </c>
    </row>
    <row r="179" spans="1:2" x14ac:dyDescent="0.3">
      <c r="A179" s="113" t="s">
        <v>18</v>
      </c>
      <c r="B179" s="113" t="s">
        <v>115</v>
      </c>
    </row>
    <row r="180" spans="1:2" x14ac:dyDescent="0.3">
      <c r="A180" s="113" t="s">
        <v>18</v>
      </c>
      <c r="B180" s="113" t="s">
        <v>115</v>
      </c>
    </row>
    <row r="181" spans="1:2" x14ac:dyDescent="0.3">
      <c r="A181" s="113" t="s">
        <v>18</v>
      </c>
      <c r="B181" s="113" t="s">
        <v>115</v>
      </c>
    </row>
    <row r="182" spans="1:2" x14ac:dyDescent="0.3">
      <c r="A182" s="113" t="s">
        <v>18</v>
      </c>
      <c r="B182" s="113" t="s">
        <v>115</v>
      </c>
    </row>
    <row r="183" spans="1:2" x14ac:dyDescent="0.3">
      <c r="A183" s="113" t="s">
        <v>18</v>
      </c>
      <c r="B183" s="113" t="s">
        <v>115</v>
      </c>
    </row>
    <row r="184" spans="1:2" x14ac:dyDescent="0.3">
      <c r="A184" s="113" t="s">
        <v>18</v>
      </c>
      <c r="B184" s="113" t="s">
        <v>115</v>
      </c>
    </row>
    <row r="185" spans="1:2" x14ac:dyDescent="0.3">
      <c r="A185" s="113" t="s">
        <v>18</v>
      </c>
      <c r="B185" s="113" t="s">
        <v>115</v>
      </c>
    </row>
    <row r="186" spans="1:2" x14ac:dyDescent="0.3">
      <c r="A186" s="113" t="s">
        <v>18</v>
      </c>
      <c r="B186" s="113" t="s">
        <v>115</v>
      </c>
    </row>
    <row r="187" spans="1:2" x14ac:dyDescent="0.3">
      <c r="A187" s="113" t="s">
        <v>18</v>
      </c>
      <c r="B187" s="113" t="s">
        <v>115</v>
      </c>
    </row>
    <row r="188" spans="1:2" x14ac:dyDescent="0.3">
      <c r="A188" s="113" t="s">
        <v>18</v>
      </c>
      <c r="B188" s="113" t="s">
        <v>115</v>
      </c>
    </row>
    <row r="189" spans="1:2" x14ac:dyDescent="0.3">
      <c r="A189" s="113" t="s">
        <v>18</v>
      </c>
      <c r="B189" s="113" t="s">
        <v>115</v>
      </c>
    </row>
    <row r="190" spans="1:2" x14ac:dyDescent="0.3">
      <c r="A190" s="113" t="s">
        <v>18</v>
      </c>
      <c r="B190" s="113" t="s">
        <v>115</v>
      </c>
    </row>
    <row r="191" spans="1:2" x14ac:dyDescent="0.3">
      <c r="A191" s="113" t="s">
        <v>18</v>
      </c>
      <c r="B191" s="113" t="s">
        <v>115</v>
      </c>
    </row>
    <row r="192" spans="1:2" x14ac:dyDescent="0.3">
      <c r="A192" s="113" t="s">
        <v>18</v>
      </c>
      <c r="B192" s="113" t="s">
        <v>115</v>
      </c>
    </row>
    <row r="193" spans="1:2" x14ac:dyDescent="0.3">
      <c r="A193" s="113" t="s">
        <v>18</v>
      </c>
      <c r="B193" s="113" t="s">
        <v>115</v>
      </c>
    </row>
    <row r="194" spans="1:2" x14ac:dyDescent="0.3">
      <c r="A194" s="113" t="s">
        <v>18</v>
      </c>
      <c r="B194" s="113" t="s">
        <v>115</v>
      </c>
    </row>
    <row r="195" spans="1:2" x14ac:dyDescent="0.3">
      <c r="A195" s="113" t="s">
        <v>18</v>
      </c>
      <c r="B195" s="113" t="s">
        <v>115</v>
      </c>
    </row>
    <row r="196" spans="1:2" x14ac:dyDescent="0.3">
      <c r="A196" s="113" t="s">
        <v>18</v>
      </c>
      <c r="B196" s="113" t="s">
        <v>115</v>
      </c>
    </row>
    <row r="197" spans="1:2" x14ac:dyDescent="0.3">
      <c r="A197" s="113" t="s">
        <v>18</v>
      </c>
      <c r="B197" s="113" t="s">
        <v>115</v>
      </c>
    </row>
    <row r="198" spans="1:2" x14ac:dyDescent="0.3">
      <c r="A198" s="113" t="s">
        <v>18</v>
      </c>
      <c r="B198" s="113" t="s">
        <v>115</v>
      </c>
    </row>
    <row r="199" spans="1:2" x14ac:dyDescent="0.3">
      <c r="A199" s="113" t="s">
        <v>18</v>
      </c>
      <c r="B199" s="113" t="s">
        <v>115</v>
      </c>
    </row>
    <row r="200" spans="1:2" x14ac:dyDescent="0.3">
      <c r="A200" s="113" t="s">
        <v>18</v>
      </c>
      <c r="B200" s="113" t="s">
        <v>115</v>
      </c>
    </row>
    <row r="201" spans="1:2" x14ac:dyDescent="0.3">
      <c r="A201" s="113" t="s">
        <v>18</v>
      </c>
      <c r="B201" s="113" t="s">
        <v>115</v>
      </c>
    </row>
    <row r="202" spans="1:2" x14ac:dyDescent="0.3">
      <c r="A202" s="113" t="s">
        <v>18</v>
      </c>
      <c r="B202" s="113" t="s">
        <v>115</v>
      </c>
    </row>
    <row r="203" spans="1:2" x14ac:dyDescent="0.3">
      <c r="A203" s="113" t="s">
        <v>18</v>
      </c>
      <c r="B203" s="113" t="s">
        <v>115</v>
      </c>
    </row>
    <row r="204" spans="1:2" x14ac:dyDescent="0.3">
      <c r="A204" s="113" t="s">
        <v>18</v>
      </c>
      <c r="B204" s="113" t="s">
        <v>115</v>
      </c>
    </row>
    <row r="205" spans="1:2" x14ac:dyDescent="0.3">
      <c r="A205" s="113" t="s">
        <v>18</v>
      </c>
      <c r="B205" s="113" t="s">
        <v>115</v>
      </c>
    </row>
    <row r="206" spans="1:2" x14ac:dyDescent="0.3">
      <c r="A206" s="113" t="s">
        <v>18</v>
      </c>
      <c r="B206" s="113" t="s">
        <v>115</v>
      </c>
    </row>
    <row r="207" spans="1:2" x14ac:dyDescent="0.3">
      <c r="A207" s="113" t="s">
        <v>18</v>
      </c>
      <c r="B207" s="113" t="s">
        <v>115</v>
      </c>
    </row>
    <row r="208" spans="1:2" x14ac:dyDescent="0.3">
      <c r="A208" s="113" t="s">
        <v>18</v>
      </c>
      <c r="B208" s="113" t="s">
        <v>115</v>
      </c>
    </row>
    <row r="209" spans="1:2" x14ac:dyDescent="0.3">
      <c r="A209" s="113" t="s">
        <v>18</v>
      </c>
      <c r="B209" s="113" t="s">
        <v>115</v>
      </c>
    </row>
    <row r="210" spans="1:2" x14ac:dyDescent="0.3">
      <c r="A210" s="113" t="s">
        <v>18</v>
      </c>
      <c r="B210" s="113" t="s">
        <v>115</v>
      </c>
    </row>
    <row r="211" spans="1:2" x14ac:dyDescent="0.3">
      <c r="A211" s="113" t="s">
        <v>18</v>
      </c>
      <c r="B211" s="113" t="s">
        <v>115</v>
      </c>
    </row>
    <row r="212" spans="1:2" x14ac:dyDescent="0.3">
      <c r="A212" s="113" t="s">
        <v>18</v>
      </c>
      <c r="B212" s="113" t="s">
        <v>115</v>
      </c>
    </row>
    <row r="213" spans="1:2" x14ac:dyDescent="0.3">
      <c r="A213" s="113" t="s">
        <v>18</v>
      </c>
      <c r="B213" s="113" t="s">
        <v>115</v>
      </c>
    </row>
    <row r="214" spans="1:2" x14ac:dyDescent="0.3">
      <c r="A214" s="113" t="s">
        <v>18</v>
      </c>
      <c r="B214" s="113" t="s">
        <v>115</v>
      </c>
    </row>
    <row r="215" spans="1:2" x14ac:dyDescent="0.3">
      <c r="A215" s="113" t="s">
        <v>18</v>
      </c>
      <c r="B215" s="113" t="s">
        <v>115</v>
      </c>
    </row>
    <row r="216" spans="1:2" x14ac:dyDescent="0.3">
      <c r="A216" s="113" t="s">
        <v>18</v>
      </c>
      <c r="B216" s="113" t="s">
        <v>115</v>
      </c>
    </row>
    <row r="217" spans="1:2" x14ac:dyDescent="0.3">
      <c r="A217" s="113" t="s">
        <v>18</v>
      </c>
      <c r="B217" s="113" t="s">
        <v>115</v>
      </c>
    </row>
    <row r="218" spans="1:2" x14ac:dyDescent="0.3">
      <c r="A218" s="113" t="s">
        <v>18</v>
      </c>
      <c r="B218" s="113" t="s">
        <v>115</v>
      </c>
    </row>
    <row r="219" spans="1:2" x14ac:dyDescent="0.3">
      <c r="A219" s="113" t="s">
        <v>18</v>
      </c>
      <c r="B219" s="113" t="s">
        <v>115</v>
      </c>
    </row>
    <row r="220" spans="1:2" x14ac:dyDescent="0.3">
      <c r="A220" s="113" t="s">
        <v>18</v>
      </c>
      <c r="B220" s="113" t="s">
        <v>115</v>
      </c>
    </row>
    <row r="221" spans="1:2" x14ac:dyDescent="0.3">
      <c r="A221" s="113" t="s">
        <v>18</v>
      </c>
      <c r="B221" s="113" t="s">
        <v>115</v>
      </c>
    </row>
    <row r="222" spans="1:2" x14ac:dyDescent="0.3">
      <c r="A222" s="113" t="s">
        <v>18</v>
      </c>
      <c r="B222" s="113" t="s">
        <v>115</v>
      </c>
    </row>
    <row r="223" spans="1:2" x14ac:dyDescent="0.3">
      <c r="A223" s="113" t="s">
        <v>18</v>
      </c>
      <c r="B223" s="113" t="s">
        <v>115</v>
      </c>
    </row>
    <row r="224" spans="1:2" x14ac:dyDescent="0.3">
      <c r="A224" s="113" t="s">
        <v>18</v>
      </c>
      <c r="B224" s="113" t="s">
        <v>115</v>
      </c>
    </row>
    <row r="225" spans="1:2" x14ac:dyDescent="0.3">
      <c r="A225" s="113" t="s">
        <v>18</v>
      </c>
      <c r="B225" s="113" t="s">
        <v>115</v>
      </c>
    </row>
    <row r="226" spans="1:2" x14ac:dyDescent="0.3">
      <c r="A226" s="113" t="s">
        <v>18</v>
      </c>
      <c r="B226" s="113" t="s">
        <v>115</v>
      </c>
    </row>
    <row r="227" spans="1:2" x14ac:dyDescent="0.3">
      <c r="A227" s="113" t="s">
        <v>18</v>
      </c>
      <c r="B227" s="113" t="s">
        <v>115</v>
      </c>
    </row>
    <row r="228" spans="1:2" x14ac:dyDescent="0.3">
      <c r="A228" s="113" t="s">
        <v>18</v>
      </c>
      <c r="B228" s="113" t="s">
        <v>115</v>
      </c>
    </row>
    <row r="229" spans="1:2" x14ac:dyDescent="0.3">
      <c r="A229" s="113" t="s">
        <v>18</v>
      </c>
      <c r="B229" s="113" t="s">
        <v>115</v>
      </c>
    </row>
    <row r="230" spans="1:2" x14ac:dyDescent="0.3">
      <c r="A230" s="113" t="s">
        <v>18</v>
      </c>
      <c r="B230" s="113" t="s">
        <v>115</v>
      </c>
    </row>
    <row r="231" spans="1:2" x14ac:dyDescent="0.3">
      <c r="A231" s="113" t="s">
        <v>18</v>
      </c>
      <c r="B231" s="113" t="s">
        <v>115</v>
      </c>
    </row>
    <row r="232" spans="1:2" x14ac:dyDescent="0.3">
      <c r="A232" s="113" t="s">
        <v>18</v>
      </c>
      <c r="B232" s="113" t="s">
        <v>115</v>
      </c>
    </row>
    <row r="233" spans="1:2" x14ac:dyDescent="0.3">
      <c r="A233" s="113" t="s">
        <v>18</v>
      </c>
      <c r="B233" s="113" t="s">
        <v>115</v>
      </c>
    </row>
    <row r="234" spans="1:2" x14ac:dyDescent="0.3">
      <c r="A234" s="113" t="s">
        <v>18</v>
      </c>
      <c r="B234" s="113" t="s">
        <v>115</v>
      </c>
    </row>
    <row r="235" spans="1:2" x14ac:dyDescent="0.3">
      <c r="A235" s="113" t="s">
        <v>18</v>
      </c>
      <c r="B235" s="113" t="s">
        <v>115</v>
      </c>
    </row>
    <row r="236" spans="1:2" x14ac:dyDescent="0.3">
      <c r="A236" s="113" t="s">
        <v>18</v>
      </c>
      <c r="B236" s="113" t="s">
        <v>115</v>
      </c>
    </row>
    <row r="237" spans="1:2" x14ac:dyDescent="0.3">
      <c r="A237" s="113" t="s">
        <v>18</v>
      </c>
      <c r="B237" s="113" t="s">
        <v>115</v>
      </c>
    </row>
    <row r="238" spans="1:2" x14ac:dyDescent="0.3">
      <c r="A238" s="113" t="s">
        <v>18</v>
      </c>
      <c r="B238" s="113" t="s">
        <v>115</v>
      </c>
    </row>
    <row r="239" spans="1:2" x14ac:dyDescent="0.3">
      <c r="A239" s="113" t="s">
        <v>18</v>
      </c>
      <c r="B239" s="113" t="s">
        <v>115</v>
      </c>
    </row>
    <row r="240" spans="1:2" x14ac:dyDescent="0.3">
      <c r="A240" s="113" t="s">
        <v>18</v>
      </c>
      <c r="B240" s="113" t="s">
        <v>115</v>
      </c>
    </row>
    <row r="241" spans="1:2" x14ac:dyDescent="0.3">
      <c r="A241" s="113" t="s">
        <v>18</v>
      </c>
      <c r="B241" s="113" t="s">
        <v>115</v>
      </c>
    </row>
    <row r="242" spans="1:2" x14ac:dyDescent="0.3">
      <c r="A242" s="113" t="s">
        <v>18</v>
      </c>
      <c r="B242" s="113" t="s">
        <v>115</v>
      </c>
    </row>
    <row r="243" spans="1:2" x14ac:dyDescent="0.3">
      <c r="A243" s="113" t="s">
        <v>18</v>
      </c>
      <c r="B243" s="113" t="s">
        <v>115</v>
      </c>
    </row>
    <row r="244" spans="1:2" x14ac:dyDescent="0.3">
      <c r="A244" s="113" t="s">
        <v>18</v>
      </c>
      <c r="B244" s="113" t="s">
        <v>115</v>
      </c>
    </row>
    <row r="245" spans="1:2" x14ac:dyDescent="0.3">
      <c r="A245" s="113" t="s">
        <v>18</v>
      </c>
      <c r="B245" s="113" t="s">
        <v>115</v>
      </c>
    </row>
    <row r="246" spans="1:2" x14ac:dyDescent="0.3">
      <c r="A246" s="113" t="s">
        <v>18</v>
      </c>
      <c r="B246" s="113" t="s">
        <v>115</v>
      </c>
    </row>
    <row r="247" spans="1:2" x14ac:dyDescent="0.3">
      <c r="A247" s="113" t="s">
        <v>18</v>
      </c>
      <c r="B247" s="113" t="s">
        <v>115</v>
      </c>
    </row>
    <row r="248" spans="1:2" x14ac:dyDescent="0.3">
      <c r="A248" s="113" t="s">
        <v>18</v>
      </c>
      <c r="B248" s="113" t="s">
        <v>115</v>
      </c>
    </row>
    <row r="249" spans="1:2" x14ac:dyDescent="0.3">
      <c r="A249" s="113" t="s">
        <v>18</v>
      </c>
      <c r="B249" s="113" t="s">
        <v>115</v>
      </c>
    </row>
    <row r="250" spans="1:2" x14ac:dyDescent="0.3">
      <c r="A250" s="113" t="s">
        <v>18</v>
      </c>
      <c r="B250" s="113" t="s">
        <v>115</v>
      </c>
    </row>
    <row r="251" spans="1:2" x14ac:dyDescent="0.3">
      <c r="A251" s="113" t="s">
        <v>18</v>
      </c>
      <c r="B251" s="113" t="s">
        <v>115</v>
      </c>
    </row>
    <row r="252" spans="1:2" x14ac:dyDescent="0.3">
      <c r="A252" s="113" t="s">
        <v>18</v>
      </c>
      <c r="B252" s="113" t="s">
        <v>115</v>
      </c>
    </row>
    <row r="253" spans="1:2" x14ac:dyDescent="0.3">
      <c r="A253" s="113" t="s">
        <v>18</v>
      </c>
      <c r="B253" s="113" t="s">
        <v>115</v>
      </c>
    </row>
    <row r="254" spans="1:2" x14ac:dyDescent="0.3">
      <c r="A254" s="113" t="s">
        <v>18</v>
      </c>
      <c r="B254" s="113" t="s">
        <v>115</v>
      </c>
    </row>
    <row r="255" spans="1:2" x14ac:dyDescent="0.3">
      <c r="A255" s="113" t="s">
        <v>18</v>
      </c>
      <c r="B255" s="113" t="s">
        <v>115</v>
      </c>
    </row>
    <row r="256" spans="1:2" x14ac:dyDescent="0.3">
      <c r="A256" s="113" t="s">
        <v>18</v>
      </c>
      <c r="B256" s="113" t="s">
        <v>115</v>
      </c>
    </row>
    <row r="257" spans="1:2" x14ac:dyDescent="0.3">
      <c r="A257" s="113" t="s">
        <v>18</v>
      </c>
      <c r="B257" s="113" t="s">
        <v>115</v>
      </c>
    </row>
    <row r="258" spans="1:2" x14ac:dyDescent="0.3">
      <c r="A258" s="113" t="s">
        <v>18</v>
      </c>
      <c r="B258" s="113" t="s">
        <v>115</v>
      </c>
    </row>
    <row r="259" spans="1:2" x14ac:dyDescent="0.3">
      <c r="A259" s="113" t="s">
        <v>18</v>
      </c>
      <c r="B259" s="113" t="s">
        <v>115</v>
      </c>
    </row>
    <row r="260" spans="1:2" x14ac:dyDescent="0.3">
      <c r="A260" s="113" t="s">
        <v>18</v>
      </c>
      <c r="B260" s="113" t="s">
        <v>115</v>
      </c>
    </row>
    <row r="261" spans="1:2" x14ac:dyDescent="0.3">
      <c r="A261" s="113" t="s">
        <v>18</v>
      </c>
      <c r="B261" s="113" t="s">
        <v>115</v>
      </c>
    </row>
    <row r="262" spans="1:2" x14ac:dyDescent="0.3">
      <c r="A262" s="113" t="s">
        <v>18</v>
      </c>
      <c r="B262" s="113" t="s">
        <v>115</v>
      </c>
    </row>
    <row r="263" spans="1:2" x14ac:dyDescent="0.3">
      <c r="A263" s="113" t="s">
        <v>18</v>
      </c>
      <c r="B263" s="113" t="s">
        <v>115</v>
      </c>
    </row>
    <row r="264" spans="1:2" x14ac:dyDescent="0.3">
      <c r="A264" s="113" t="s">
        <v>18</v>
      </c>
      <c r="B264" s="113" t="s">
        <v>115</v>
      </c>
    </row>
    <row r="265" spans="1:2" x14ac:dyDescent="0.3">
      <c r="A265" s="113" t="s">
        <v>18</v>
      </c>
      <c r="B265" s="113" t="s">
        <v>115</v>
      </c>
    </row>
    <row r="266" spans="1:2" x14ac:dyDescent="0.3">
      <c r="A266" s="113" t="s">
        <v>18</v>
      </c>
      <c r="B266" s="113" t="s">
        <v>115</v>
      </c>
    </row>
    <row r="267" spans="1:2" x14ac:dyDescent="0.3">
      <c r="A267" s="113" t="s">
        <v>18</v>
      </c>
      <c r="B267" s="113" t="s">
        <v>115</v>
      </c>
    </row>
    <row r="268" spans="1:2" x14ac:dyDescent="0.3">
      <c r="A268" s="113" t="s">
        <v>18</v>
      </c>
      <c r="B268" s="113" t="s">
        <v>115</v>
      </c>
    </row>
    <row r="269" spans="1:2" x14ac:dyDescent="0.3">
      <c r="A269" s="113" t="s">
        <v>18</v>
      </c>
      <c r="B269" s="113" t="s">
        <v>115</v>
      </c>
    </row>
    <row r="270" spans="1:2" x14ac:dyDescent="0.3">
      <c r="A270" s="113" t="s">
        <v>18</v>
      </c>
      <c r="B270" s="113" t="s">
        <v>115</v>
      </c>
    </row>
    <row r="271" spans="1:2" x14ac:dyDescent="0.3">
      <c r="A271" s="113" t="s">
        <v>18</v>
      </c>
      <c r="B271" s="113" t="s">
        <v>115</v>
      </c>
    </row>
    <row r="272" spans="1:2" x14ac:dyDescent="0.3">
      <c r="A272" s="113" t="s">
        <v>18</v>
      </c>
      <c r="B272" s="113" t="s">
        <v>115</v>
      </c>
    </row>
    <row r="273" spans="1:2" x14ac:dyDescent="0.3">
      <c r="A273" s="113" t="s">
        <v>18</v>
      </c>
      <c r="B273" s="113" t="s">
        <v>115</v>
      </c>
    </row>
    <row r="274" spans="1:2" x14ac:dyDescent="0.3">
      <c r="A274" s="113" t="s">
        <v>18</v>
      </c>
      <c r="B274" s="113" t="s">
        <v>115</v>
      </c>
    </row>
    <row r="275" spans="1:2" x14ac:dyDescent="0.3">
      <c r="A275" s="113" t="s">
        <v>18</v>
      </c>
      <c r="B275" s="113" t="s">
        <v>115</v>
      </c>
    </row>
    <row r="276" spans="1:2" x14ac:dyDescent="0.3">
      <c r="A276" s="113" t="s">
        <v>18</v>
      </c>
      <c r="B276" s="113" t="s">
        <v>115</v>
      </c>
    </row>
    <row r="277" spans="1:2" x14ac:dyDescent="0.3">
      <c r="A277" s="113" t="s">
        <v>18</v>
      </c>
      <c r="B277" s="113" t="s">
        <v>115</v>
      </c>
    </row>
    <row r="278" spans="1:2" x14ac:dyDescent="0.3">
      <c r="A278" s="113" t="s">
        <v>18</v>
      </c>
      <c r="B278" s="113" t="s">
        <v>115</v>
      </c>
    </row>
    <row r="279" spans="1:2" x14ac:dyDescent="0.3">
      <c r="A279" s="113" t="s">
        <v>18</v>
      </c>
      <c r="B279" s="113" t="s">
        <v>115</v>
      </c>
    </row>
    <row r="280" spans="1:2" x14ac:dyDescent="0.3">
      <c r="A280" s="113" t="s">
        <v>18</v>
      </c>
      <c r="B280" s="113" t="s">
        <v>115</v>
      </c>
    </row>
    <row r="281" spans="1:2" x14ac:dyDescent="0.3">
      <c r="A281" s="113" t="s">
        <v>18</v>
      </c>
      <c r="B281" s="113" t="s">
        <v>115</v>
      </c>
    </row>
    <row r="282" spans="1:2" x14ac:dyDescent="0.3">
      <c r="A282" s="113" t="s">
        <v>18</v>
      </c>
      <c r="B282" s="113" t="s">
        <v>115</v>
      </c>
    </row>
    <row r="283" spans="1:2" x14ac:dyDescent="0.3">
      <c r="A283" s="113" t="s">
        <v>18</v>
      </c>
      <c r="B283" s="113" t="s">
        <v>115</v>
      </c>
    </row>
    <row r="284" spans="1:2" x14ac:dyDescent="0.3">
      <c r="A284" s="113" t="s">
        <v>18</v>
      </c>
      <c r="B284" s="113" t="s">
        <v>115</v>
      </c>
    </row>
    <row r="285" spans="1:2" x14ac:dyDescent="0.3">
      <c r="A285" s="113" t="s">
        <v>18</v>
      </c>
      <c r="B285" s="113" t="s">
        <v>115</v>
      </c>
    </row>
    <row r="286" spans="1:2" x14ac:dyDescent="0.3">
      <c r="A286" s="113" t="s">
        <v>18</v>
      </c>
      <c r="B286" s="113" t="s">
        <v>115</v>
      </c>
    </row>
    <row r="287" spans="1:2" x14ac:dyDescent="0.3">
      <c r="A287" s="113" t="s">
        <v>18</v>
      </c>
      <c r="B287" s="113" t="s">
        <v>115</v>
      </c>
    </row>
    <row r="288" spans="1:2" x14ac:dyDescent="0.3">
      <c r="A288" s="113" t="s">
        <v>18</v>
      </c>
      <c r="B288" s="113" t="s">
        <v>115</v>
      </c>
    </row>
    <row r="289" spans="1:2" x14ac:dyDescent="0.3">
      <c r="A289" s="113" t="s">
        <v>18</v>
      </c>
      <c r="B289" s="113" t="s">
        <v>115</v>
      </c>
    </row>
    <row r="290" spans="1:2" x14ac:dyDescent="0.3">
      <c r="A290" s="113" t="s">
        <v>18</v>
      </c>
      <c r="B290" s="113" t="s">
        <v>115</v>
      </c>
    </row>
    <row r="291" spans="1:2" x14ac:dyDescent="0.3">
      <c r="A291" s="113" t="s">
        <v>18</v>
      </c>
      <c r="B291" s="113" t="s">
        <v>115</v>
      </c>
    </row>
    <row r="292" spans="1:2" x14ac:dyDescent="0.3">
      <c r="A292" s="113" t="s">
        <v>18</v>
      </c>
      <c r="B292" s="113" t="s">
        <v>115</v>
      </c>
    </row>
    <row r="293" spans="1:2" x14ac:dyDescent="0.3">
      <c r="A293" s="113" t="s">
        <v>18</v>
      </c>
      <c r="B293" s="113" t="s">
        <v>115</v>
      </c>
    </row>
    <row r="294" spans="1:2" x14ac:dyDescent="0.3">
      <c r="A294" s="113" t="s">
        <v>18</v>
      </c>
      <c r="B294" s="113" t="s">
        <v>115</v>
      </c>
    </row>
    <row r="295" spans="1:2" x14ac:dyDescent="0.3">
      <c r="A295" s="113" t="s">
        <v>18</v>
      </c>
      <c r="B295" s="113" t="s">
        <v>115</v>
      </c>
    </row>
    <row r="296" spans="1:2" x14ac:dyDescent="0.3">
      <c r="A296" s="113" t="s">
        <v>18</v>
      </c>
      <c r="B296" s="113" t="s">
        <v>115</v>
      </c>
    </row>
    <row r="297" spans="1:2" x14ac:dyDescent="0.3">
      <c r="A297" s="113" t="s">
        <v>18</v>
      </c>
      <c r="B297" s="113" t="s">
        <v>115</v>
      </c>
    </row>
    <row r="298" spans="1:2" x14ac:dyDescent="0.3">
      <c r="A298" s="113" t="s">
        <v>18</v>
      </c>
      <c r="B298" s="113" t="s">
        <v>115</v>
      </c>
    </row>
    <row r="299" spans="1:2" x14ac:dyDescent="0.3">
      <c r="A299" s="113" t="s">
        <v>18</v>
      </c>
      <c r="B299" s="113" t="s">
        <v>115</v>
      </c>
    </row>
    <row r="300" spans="1:2" x14ac:dyDescent="0.3">
      <c r="A300" s="113" t="s">
        <v>18</v>
      </c>
      <c r="B300" s="113" t="s">
        <v>115</v>
      </c>
    </row>
    <row r="301" spans="1:2" x14ac:dyDescent="0.3">
      <c r="A301" s="113" t="s">
        <v>18</v>
      </c>
      <c r="B301" s="113" t="s">
        <v>115</v>
      </c>
    </row>
    <row r="302" spans="1:2" x14ac:dyDescent="0.3">
      <c r="A302" s="113" t="s">
        <v>18</v>
      </c>
      <c r="B302" s="113" t="s">
        <v>115</v>
      </c>
    </row>
    <row r="303" spans="1:2" x14ac:dyDescent="0.3">
      <c r="A303" s="113" t="s">
        <v>18</v>
      </c>
      <c r="B303" s="113" t="s">
        <v>115</v>
      </c>
    </row>
    <row r="304" spans="1:2" x14ac:dyDescent="0.3">
      <c r="A304" s="113" t="s">
        <v>18</v>
      </c>
      <c r="B304" s="113" t="s">
        <v>115</v>
      </c>
    </row>
    <row r="305" spans="1:2" x14ac:dyDescent="0.3">
      <c r="A305" s="113" t="s">
        <v>18</v>
      </c>
      <c r="B305" s="113" t="s">
        <v>115</v>
      </c>
    </row>
    <row r="306" spans="1:2" x14ac:dyDescent="0.3">
      <c r="A306" s="113" t="s">
        <v>21</v>
      </c>
      <c r="B306" s="113" t="s">
        <v>17</v>
      </c>
    </row>
    <row r="307" spans="1:2" x14ac:dyDescent="0.3">
      <c r="A307" s="113" t="s">
        <v>21</v>
      </c>
      <c r="B307" s="113" t="s">
        <v>17</v>
      </c>
    </row>
    <row r="308" spans="1:2" x14ac:dyDescent="0.3">
      <c r="A308" s="113" t="s">
        <v>21</v>
      </c>
      <c r="B308" s="113" t="s">
        <v>17</v>
      </c>
    </row>
    <row r="309" spans="1:2" x14ac:dyDescent="0.3">
      <c r="A309" s="113" t="s">
        <v>21</v>
      </c>
      <c r="B309" s="113" t="s">
        <v>17</v>
      </c>
    </row>
    <row r="310" spans="1:2" x14ac:dyDescent="0.3">
      <c r="A310" s="113" t="s">
        <v>21</v>
      </c>
      <c r="B310" s="113" t="s">
        <v>17</v>
      </c>
    </row>
    <row r="311" spans="1:2" x14ac:dyDescent="0.3">
      <c r="A311" s="113" t="s">
        <v>21</v>
      </c>
      <c r="B311" s="113" t="s">
        <v>17</v>
      </c>
    </row>
    <row r="312" spans="1:2" x14ac:dyDescent="0.3">
      <c r="A312" s="113" t="s">
        <v>21</v>
      </c>
      <c r="B312" s="113" t="s">
        <v>17</v>
      </c>
    </row>
    <row r="313" spans="1:2" x14ac:dyDescent="0.3">
      <c r="A313" s="113" t="s">
        <v>21</v>
      </c>
      <c r="B313" s="113" t="s">
        <v>17</v>
      </c>
    </row>
    <row r="314" spans="1:2" x14ac:dyDescent="0.3">
      <c r="A314" s="113" t="s">
        <v>21</v>
      </c>
      <c r="B314" s="113" t="s">
        <v>17</v>
      </c>
    </row>
    <row r="315" spans="1:2" x14ac:dyDescent="0.3">
      <c r="A315" s="113" t="s">
        <v>21</v>
      </c>
      <c r="B315" s="113" t="s">
        <v>17</v>
      </c>
    </row>
    <row r="316" spans="1:2" x14ac:dyDescent="0.3">
      <c r="A316" s="113" t="s">
        <v>21</v>
      </c>
      <c r="B316" s="113" t="s">
        <v>17</v>
      </c>
    </row>
    <row r="317" spans="1:2" x14ac:dyDescent="0.3">
      <c r="A317" s="113" t="s">
        <v>22</v>
      </c>
      <c r="B317" s="113" t="s">
        <v>17</v>
      </c>
    </row>
    <row r="318" spans="1:2" x14ac:dyDescent="0.3">
      <c r="A318" s="113" t="s">
        <v>22</v>
      </c>
      <c r="B318" s="113" t="s">
        <v>17</v>
      </c>
    </row>
    <row r="319" spans="1:2" x14ac:dyDescent="0.3">
      <c r="A319" s="113" t="s">
        <v>22</v>
      </c>
      <c r="B319" s="113" t="s">
        <v>17</v>
      </c>
    </row>
    <row r="320" spans="1:2" x14ac:dyDescent="0.3">
      <c r="A320" s="113" t="s">
        <v>24</v>
      </c>
      <c r="B320" s="113" t="s">
        <v>17</v>
      </c>
    </row>
    <row r="321" spans="1:2" x14ac:dyDescent="0.3">
      <c r="A321" s="113" t="s">
        <v>24</v>
      </c>
      <c r="B321" s="113" t="s">
        <v>17</v>
      </c>
    </row>
    <row r="322" spans="1:2" x14ac:dyDescent="0.3">
      <c r="A322" s="113" t="s">
        <v>24</v>
      </c>
      <c r="B322" s="113" t="s">
        <v>17</v>
      </c>
    </row>
    <row r="323" spans="1:2" x14ac:dyDescent="0.3">
      <c r="A323" s="113" t="s">
        <v>24</v>
      </c>
      <c r="B323" s="113" t="s">
        <v>17</v>
      </c>
    </row>
    <row r="324" spans="1:2" x14ac:dyDescent="0.3">
      <c r="A324" s="113" t="s">
        <v>24</v>
      </c>
      <c r="B324" s="113" t="s">
        <v>17</v>
      </c>
    </row>
    <row r="325" spans="1:2" x14ac:dyDescent="0.3">
      <c r="A325" s="113" t="s">
        <v>24</v>
      </c>
      <c r="B325" s="113" t="s">
        <v>17</v>
      </c>
    </row>
    <row r="326" spans="1:2" x14ac:dyDescent="0.3">
      <c r="A326" s="113" t="s">
        <v>24</v>
      </c>
      <c r="B326" s="113" t="s">
        <v>17</v>
      </c>
    </row>
    <row r="327" spans="1:2" x14ac:dyDescent="0.3">
      <c r="A327" s="113" t="s">
        <v>24</v>
      </c>
      <c r="B327" s="113" t="s">
        <v>17</v>
      </c>
    </row>
    <row r="328" spans="1:2" x14ac:dyDescent="0.3">
      <c r="A328" s="113" t="s">
        <v>24</v>
      </c>
      <c r="B328" s="113" t="s">
        <v>17</v>
      </c>
    </row>
    <row r="329" spans="1:2" x14ac:dyDescent="0.3">
      <c r="A329" s="113" t="s">
        <v>24</v>
      </c>
      <c r="B329" s="113" t="s">
        <v>17</v>
      </c>
    </row>
    <row r="330" spans="1:2" x14ac:dyDescent="0.3">
      <c r="A330" s="113" t="s">
        <v>24</v>
      </c>
      <c r="B330" s="113" t="s">
        <v>17</v>
      </c>
    </row>
    <row r="331" spans="1:2" x14ac:dyDescent="0.3">
      <c r="A331" s="113" t="s">
        <v>26</v>
      </c>
      <c r="B331" s="113" t="s">
        <v>127</v>
      </c>
    </row>
    <row r="332" spans="1:2" x14ac:dyDescent="0.3">
      <c r="A332" s="113" t="s">
        <v>94</v>
      </c>
      <c r="B332" s="113" t="s">
        <v>17</v>
      </c>
    </row>
    <row r="333" spans="1:2" x14ac:dyDescent="0.3">
      <c r="A333" s="113" t="s">
        <v>28</v>
      </c>
      <c r="B333" s="113" t="s">
        <v>115</v>
      </c>
    </row>
    <row r="334" spans="1:2" x14ac:dyDescent="0.3">
      <c r="A334" s="113" t="s">
        <v>28</v>
      </c>
      <c r="B334" s="113" t="s">
        <v>115</v>
      </c>
    </row>
    <row r="335" spans="1:2" x14ac:dyDescent="0.3">
      <c r="A335" s="113" t="s">
        <v>28</v>
      </c>
      <c r="B335" s="113" t="s">
        <v>115</v>
      </c>
    </row>
    <row r="336" spans="1:2" x14ac:dyDescent="0.3">
      <c r="A336" s="113" t="s">
        <v>28</v>
      </c>
      <c r="B336" s="113" t="s">
        <v>115</v>
      </c>
    </row>
    <row r="337" spans="1:2" x14ac:dyDescent="0.3">
      <c r="A337" s="113" t="s">
        <v>28</v>
      </c>
      <c r="B337" s="113" t="s">
        <v>115</v>
      </c>
    </row>
    <row r="338" spans="1:2" x14ac:dyDescent="0.3">
      <c r="A338" s="113" t="s">
        <v>28</v>
      </c>
      <c r="B338" s="113" t="s">
        <v>115</v>
      </c>
    </row>
    <row r="339" spans="1:2" x14ac:dyDescent="0.3">
      <c r="A339" s="113" t="s">
        <v>28</v>
      </c>
      <c r="B339" s="113" t="s">
        <v>115</v>
      </c>
    </row>
    <row r="340" spans="1:2" x14ac:dyDescent="0.3">
      <c r="A340" s="113" t="s">
        <v>33</v>
      </c>
      <c r="B340" s="113" t="s">
        <v>17</v>
      </c>
    </row>
    <row r="341" spans="1:2" x14ac:dyDescent="0.3">
      <c r="A341" s="113" t="s">
        <v>33</v>
      </c>
      <c r="B341" s="113" t="s">
        <v>17</v>
      </c>
    </row>
    <row r="342" spans="1:2" x14ac:dyDescent="0.3">
      <c r="A342" s="113" t="s">
        <v>37</v>
      </c>
      <c r="B342" s="113" t="s">
        <v>115</v>
      </c>
    </row>
    <row r="343" spans="1:2" x14ac:dyDescent="0.3">
      <c r="A343" s="113" t="s">
        <v>37</v>
      </c>
      <c r="B343" s="113" t="s">
        <v>115</v>
      </c>
    </row>
    <row r="344" spans="1:2" x14ac:dyDescent="0.3">
      <c r="A344" s="113" t="s">
        <v>37</v>
      </c>
      <c r="B344" s="113" t="s">
        <v>115</v>
      </c>
    </row>
    <row r="345" spans="1:2" x14ac:dyDescent="0.3">
      <c r="A345" s="113" t="s">
        <v>32</v>
      </c>
      <c r="B345" s="113" t="s">
        <v>115</v>
      </c>
    </row>
    <row r="346" spans="1:2" x14ac:dyDescent="0.3">
      <c r="A346" s="113" t="s">
        <v>32</v>
      </c>
      <c r="B346" s="113" t="s">
        <v>115</v>
      </c>
    </row>
    <row r="347" spans="1:2" x14ac:dyDescent="0.3">
      <c r="A347" s="113" t="s">
        <v>32</v>
      </c>
      <c r="B347" s="113" t="s">
        <v>115</v>
      </c>
    </row>
    <row r="348" spans="1:2" x14ac:dyDescent="0.3">
      <c r="A348" s="113" t="s">
        <v>32</v>
      </c>
      <c r="B348" s="113" t="s">
        <v>115</v>
      </c>
    </row>
    <row r="349" spans="1:2" x14ac:dyDescent="0.3">
      <c r="A349" s="113" t="s">
        <v>32</v>
      </c>
      <c r="B349" s="113" t="s">
        <v>115</v>
      </c>
    </row>
    <row r="350" spans="1:2" x14ac:dyDescent="0.3">
      <c r="A350" s="113" t="s">
        <v>32</v>
      </c>
      <c r="B350" s="113" t="s">
        <v>115</v>
      </c>
    </row>
    <row r="351" spans="1:2" x14ac:dyDescent="0.3">
      <c r="A351" s="113" t="s">
        <v>32</v>
      </c>
      <c r="B351" s="113" t="s">
        <v>115</v>
      </c>
    </row>
    <row r="352" spans="1:2" x14ac:dyDescent="0.3">
      <c r="A352" s="113" t="s">
        <v>32</v>
      </c>
      <c r="B352" s="113" t="s">
        <v>115</v>
      </c>
    </row>
    <row r="353" spans="1:2" x14ac:dyDescent="0.3">
      <c r="A353" s="113" t="s">
        <v>32</v>
      </c>
      <c r="B353" s="113" t="s">
        <v>115</v>
      </c>
    </row>
    <row r="354" spans="1:2" x14ac:dyDescent="0.3">
      <c r="A354" s="113" t="s">
        <v>30</v>
      </c>
      <c r="B354" s="113" t="s">
        <v>17</v>
      </c>
    </row>
    <row r="355" spans="1:2" x14ac:dyDescent="0.3">
      <c r="A355" s="113" t="s">
        <v>30</v>
      </c>
      <c r="B355" s="113" t="s">
        <v>17</v>
      </c>
    </row>
    <row r="356" spans="1:2" x14ac:dyDescent="0.3">
      <c r="A356" s="113" t="s">
        <v>30</v>
      </c>
      <c r="B356" s="113" t="s">
        <v>17</v>
      </c>
    </row>
    <row r="357" spans="1:2" x14ac:dyDescent="0.3">
      <c r="A357" s="113" t="s">
        <v>30</v>
      </c>
      <c r="B357" s="113" t="s">
        <v>17</v>
      </c>
    </row>
    <row r="358" spans="1:2" x14ac:dyDescent="0.3">
      <c r="A358" s="113" t="s">
        <v>30</v>
      </c>
      <c r="B358" s="113" t="s">
        <v>17</v>
      </c>
    </row>
    <row r="359" spans="1:2" x14ac:dyDescent="0.3">
      <c r="A359" s="113" t="s">
        <v>30</v>
      </c>
      <c r="B359" s="113" t="s">
        <v>17</v>
      </c>
    </row>
    <row r="360" spans="1:2" x14ac:dyDescent="0.3">
      <c r="A360" s="113" t="s">
        <v>30</v>
      </c>
      <c r="B360" s="113" t="s">
        <v>17</v>
      </c>
    </row>
    <row r="361" spans="1:2" x14ac:dyDescent="0.3">
      <c r="A361" s="113" t="s">
        <v>30</v>
      </c>
      <c r="B361" s="113" t="s">
        <v>17</v>
      </c>
    </row>
    <row r="362" spans="1:2" x14ac:dyDescent="0.3">
      <c r="A362" s="113" t="s">
        <v>30</v>
      </c>
      <c r="B362" s="113" t="s">
        <v>17</v>
      </c>
    </row>
    <row r="363" spans="1:2" x14ac:dyDescent="0.3">
      <c r="A363" s="113" t="s">
        <v>30</v>
      </c>
      <c r="B363" s="113" t="s">
        <v>17</v>
      </c>
    </row>
    <row r="364" spans="1:2" x14ac:dyDescent="0.3">
      <c r="A364" s="113" t="s">
        <v>30</v>
      </c>
      <c r="B364" s="113" t="s">
        <v>17</v>
      </c>
    </row>
    <row r="365" spans="1:2" x14ac:dyDescent="0.3">
      <c r="A365" s="113" t="s">
        <v>30</v>
      </c>
      <c r="B365" s="113" t="s">
        <v>17</v>
      </c>
    </row>
    <row r="366" spans="1:2" x14ac:dyDescent="0.3">
      <c r="A366" s="113" t="s">
        <v>30</v>
      </c>
      <c r="B366" s="113" t="s">
        <v>17</v>
      </c>
    </row>
    <row r="367" spans="1:2" x14ac:dyDescent="0.3">
      <c r="A367" s="113" t="s">
        <v>30</v>
      </c>
      <c r="B367" s="113" t="s">
        <v>17</v>
      </c>
    </row>
    <row r="368" spans="1:2" x14ac:dyDescent="0.3">
      <c r="A368" s="113" t="s">
        <v>30</v>
      </c>
      <c r="B368" s="113" t="s">
        <v>17</v>
      </c>
    </row>
    <row r="369" spans="1:2" x14ac:dyDescent="0.3">
      <c r="A369" s="113" t="s">
        <v>30</v>
      </c>
      <c r="B369" s="113" t="s">
        <v>17</v>
      </c>
    </row>
    <row r="370" spans="1:2" x14ac:dyDescent="0.3">
      <c r="A370" s="113" t="s">
        <v>30</v>
      </c>
      <c r="B370" s="113" t="s">
        <v>17</v>
      </c>
    </row>
    <row r="371" spans="1:2" x14ac:dyDescent="0.3">
      <c r="A371" s="113" t="s">
        <v>30</v>
      </c>
      <c r="B371" s="113" t="s">
        <v>17</v>
      </c>
    </row>
    <row r="372" spans="1:2" x14ac:dyDescent="0.3">
      <c r="A372" s="113" t="s">
        <v>30</v>
      </c>
      <c r="B372" s="113" t="s">
        <v>17</v>
      </c>
    </row>
    <row r="373" spans="1:2" x14ac:dyDescent="0.3">
      <c r="A373" s="113" t="s">
        <v>30</v>
      </c>
      <c r="B373" s="113" t="s">
        <v>17</v>
      </c>
    </row>
    <row r="374" spans="1:2" x14ac:dyDescent="0.3">
      <c r="A374" s="113" t="s">
        <v>30</v>
      </c>
      <c r="B374" s="113" t="s">
        <v>17</v>
      </c>
    </row>
    <row r="375" spans="1:2" x14ac:dyDescent="0.3">
      <c r="A375" s="113" t="s">
        <v>30</v>
      </c>
      <c r="B375" s="113" t="s">
        <v>17</v>
      </c>
    </row>
    <row r="376" spans="1:2" x14ac:dyDescent="0.3">
      <c r="A376" s="113" t="s">
        <v>30</v>
      </c>
      <c r="B376" s="113" t="s">
        <v>17</v>
      </c>
    </row>
    <row r="377" spans="1:2" x14ac:dyDescent="0.3">
      <c r="A377" s="113" t="s">
        <v>30</v>
      </c>
      <c r="B377" s="113" t="s">
        <v>17</v>
      </c>
    </row>
    <row r="378" spans="1:2" x14ac:dyDescent="0.3">
      <c r="A378" s="113" t="s">
        <v>30</v>
      </c>
      <c r="B378" s="113" t="s">
        <v>17</v>
      </c>
    </row>
    <row r="379" spans="1:2" x14ac:dyDescent="0.3">
      <c r="A379" s="113" t="s">
        <v>30</v>
      </c>
      <c r="B379" s="113" t="s">
        <v>17</v>
      </c>
    </row>
    <row r="380" spans="1:2" x14ac:dyDescent="0.3">
      <c r="A380" s="113" t="s">
        <v>30</v>
      </c>
      <c r="B380" s="113" t="s">
        <v>17</v>
      </c>
    </row>
    <row r="381" spans="1:2" x14ac:dyDescent="0.3">
      <c r="A381" s="113" t="s">
        <v>30</v>
      </c>
      <c r="B381" s="113" t="s">
        <v>17</v>
      </c>
    </row>
    <row r="382" spans="1:2" x14ac:dyDescent="0.3">
      <c r="A382" s="113" t="s">
        <v>30</v>
      </c>
      <c r="B382" s="113" t="s">
        <v>17</v>
      </c>
    </row>
    <row r="383" spans="1:2" x14ac:dyDescent="0.3">
      <c r="A383" s="113" t="s">
        <v>30</v>
      </c>
      <c r="B383" s="113" t="s">
        <v>17</v>
      </c>
    </row>
    <row r="384" spans="1:2" x14ac:dyDescent="0.3">
      <c r="A384" s="113" t="s">
        <v>30</v>
      </c>
      <c r="B384" s="113" t="s">
        <v>17</v>
      </c>
    </row>
    <row r="385" spans="1:2" x14ac:dyDescent="0.3">
      <c r="A385" s="113" t="s">
        <v>30</v>
      </c>
      <c r="B385" s="113" t="s">
        <v>17</v>
      </c>
    </row>
    <row r="386" spans="1:2" x14ac:dyDescent="0.3">
      <c r="A386" s="113" t="s">
        <v>30</v>
      </c>
      <c r="B386" s="113" t="s">
        <v>17</v>
      </c>
    </row>
    <row r="387" spans="1:2" x14ac:dyDescent="0.3">
      <c r="A387" s="113" t="s">
        <v>30</v>
      </c>
      <c r="B387" s="113" t="s">
        <v>17</v>
      </c>
    </row>
    <row r="388" spans="1:2" x14ac:dyDescent="0.3">
      <c r="A388" s="113" t="s">
        <v>30</v>
      </c>
      <c r="B388" s="113" t="s">
        <v>17</v>
      </c>
    </row>
    <row r="389" spans="1:2" x14ac:dyDescent="0.3">
      <c r="A389" s="113" t="s">
        <v>30</v>
      </c>
      <c r="B389" s="113" t="s">
        <v>17</v>
      </c>
    </row>
    <row r="390" spans="1:2" x14ac:dyDescent="0.3">
      <c r="A390" s="113" t="s">
        <v>30</v>
      </c>
      <c r="B390" s="113" t="s">
        <v>17</v>
      </c>
    </row>
    <row r="391" spans="1:2" x14ac:dyDescent="0.3">
      <c r="A391" s="113" t="s">
        <v>30</v>
      </c>
      <c r="B391" s="113" t="s">
        <v>17</v>
      </c>
    </row>
    <row r="392" spans="1:2" x14ac:dyDescent="0.3">
      <c r="A392" s="113" t="s">
        <v>30</v>
      </c>
      <c r="B392" s="113" t="s">
        <v>17</v>
      </c>
    </row>
    <row r="393" spans="1:2" x14ac:dyDescent="0.3">
      <c r="A393" s="113" t="s">
        <v>30</v>
      </c>
      <c r="B393" s="113" t="s">
        <v>17</v>
      </c>
    </row>
    <row r="394" spans="1:2" x14ac:dyDescent="0.3">
      <c r="A394" s="113" t="s">
        <v>30</v>
      </c>
      <c r="B394" s="113" t="s">
        <v>17</v>
      </c>
    </row>
    <row r="395" spans="1:2" x14ac:dyDescent="0.3">
      <c r="A395" s="113" t="s">
        <v>30</v>
      </c>
      <c r="B395" s="113" t="s">
        <v>17</v>
      </c>
    </row>
    <row r="396" spans="1:2" x14ac:dyDescent="0.3">
      <c r="A396" s="113" t="s">
        <v>30</v>
      </c>
      <c r="B396" s="113" t="s">
        <v>17</v>
      </c>
    </row>
    <row r="397" spans="1:2" x14ac:dyDescent="0.3">
      <c r="A397" s="113" t="s">
        <v>30</v>
      </c>
      <c r="B397" s="113" t="s">
        <v>17</v>
      </c>
    </row>
    <row r="398" spans="1:2" x14ac:dyDescent="0.3">
      <c r="A398" s="113" t="s">
        <v>30</v>
      </c>
      <c r="B398" s="113" t="s">
        <v>17</v>
      </c>
    </row>
    <row r="399" spans="1:2" x14ac:dyDescent="0.3">
      <c r="A399" s="113" t="s">
        <v>30</v>
      </c>
      <c r="B399" s="113" t="s">
        <v>17</v>
      </c>
    </row>
    <row r="400" spans="1:2" x14ac:dyDescent="0.3">
      <c r="A400" s="113" t="s">
        <v>30</v>
      </c>
      <c r="B400" s="113" t="s">
        <v>17</v>
      </c>
    </row>
    <row r="401" spans="1:2" x14ac:dyDescent="0.3">
      <c r="A401" s="113" t="s">
        <v>30</v>
      </c>
      <c r="B401" s="113" t="s">
        <v>17</v>
      </c>
    </row>
    <row r="402" spans="1:2" x14ac:dyDescent="0.3">
      <c r="A402" s="113" t="s">
        <v>30</v>
      </c>
      <c r="B402" s="113" t="s">
        <v>17</v>
      </c>
    </row>
    <row r="403" spans="1:2" x14ac:dyDescent="0.3">
      <c r="A403" s="113" t="s">
        <v>30</v>
      </c>
      <c r="B403" s="113" t="s">
        <v>17</v>
      </c>
    </row>
    <row r="404" spans="1:2" x14ac:dyDescent="0.3">
      <c r="A404" s="113" t="s">
        <v>30</v>
      </c>
      <c r="B404" s="113" t="s">
        <v>17</v>
      </c>
    </row>
    <row r="405" spans="1:2" x14ac:dyDescent="0.3">
      <c r="A405" s="113" t="s">
        <v>30</v>
      </c>
      <c r="B405" s="113" t="s">
        <v>17</v>
      </c>
    </row>
    <row r="406" spans="1:2" x14ac:dyDescent="0.3">
      <c r="A406" s="113" t="s">
        <v>30</v>
      </c>
      <c r="B406" s="113" t="s">
        <v>17</v>
      </c>
    </row>
    <row r="407" spans="1:2" x14ac:dyDescent="0.3">
      <c r="A407" s="113" t="s">
        <v>30</v>
      </c>
      <c r="B407" s="113" t="s">
        <v>17</v>
      </c>
    </row>
    <row r="408" spans="1:2" x14ac:dyDescent="0.3">
      <c r="A408" s="113" t="s">
        <v>30</v>
      </c>
      <c r="B408" s="113" t="s">
        <v>17</v>
      </c>
    </row>
    <row r="409" spans="1:2" x14ac:dyDescent="0.3">
      <c r="A409" s="113" t="s">
        <v>30</v>
      </c>
      <c r="B409" s="113" t="s">
        <v>17</v>
      </c>
    </row>
    <row r="410" spans="1:2" x14ac:dyDescent="0.3">
      <c r="A410" s="113" t="s">
        <v>30</v>
      </c>
      <c r="B410" s="113" t="s">
        <v>17</v>
      </c>
    </row>
    <row r="411" spans="1:2" x14ac:dyDescent="0.3">
      <c r="A411" s="113" t="s">
        <v>30</v>
      </c>
      <c r="B411" s="113" t="s">
        <v>17</v>
      </c>
    </row>
    <row r="412" spans="1:2" x14ac:dyDescent="0.3">
      <c r="A412" s="113" t="s">
        <v>30</v>
      </c>
      <c r="B412" s="113" t="s">
        <v>17</v>
      </c>
    </row>
    <row r="413" spans="1:2" x14ac:dyDescent="0.3">
      <c r="A413" s="113" t="s">
        <v>30</v>
      </c>
      <c r="B413" s="113" t="s">
        <v>17</v>
      </c>
    </row>
    <row r="414" spans="1:2" x14ac:dyDescent="0.3">
      <c r="A414" s="113" t="s">
        <v>30</v>
      </c>
      <c r="B414" s="113" t="s">
        <v>17</v>
      </c>
    </row>
    <row r="415" spans="1:2" x14ac:dyDescent="0.3">
      <c r="A415" s="113" t="s">
        <v>30</v>
      </c>
      <c r="B415" s="113" t="s">
        <v>17</v>
      </c>
    </row>
    <row r="416" spans="1:2" x14ac:dyDescent="0.3">
      <c r="A416" s="113" t="s">
        <v>30</v>
      </c>
      <c r="B416" s="113" t="s">
        <v>17</v>
      </c>
    </row>
    <row r="417" spans="1:2" x14ac:dyDescent="0.3">
      <c r="A417" s="113" t="s">
        <v>30</v>
      </c>
      <c r="B417" s="113" t="s">
        <v>17</v>
      </c>
    </row>
    <row r="418" spans="1:2" x14ac:dyDescent="0.3">
      <c r="A418" s="113" t="s">
        <v>30</v>
      </c>
      <c r="B418" s="113" t="s">
        <v>17</v>
      </c>
    </row>
    <row r="419" spans="1:2" x14ac:dyDescent="0.3">
      <c r="A419" s="113" t="s">
        <v>30</v>
      </c>
      <c r="B419" s="113" t="s">
        <v>17</v>
      </c>
    </row>
    <row r="420" spans="1:2" x14ac:dyDescent="0.3">
      <c r="A420" s="113" t="s">
        <v>30</v>
      </c>
      <c r="B420" s="113" t="s">
        <v>17</v>
      </c>
    </row>
    <row r="421" spans="1:2" x14ac:dyDescent="0.3">
      <c r="A421" s="113" t="s">
        <v>30</v>
      </c>
      <c r="B421" s="113" t="s">
        <v>17</v>
      </c>
    </row>
    <row r="422" spans="1:2" x14ac:dyDescent="0.3">
      <c r="A422" s="113" t="s">
        <v>30</v>
      </c>
      <c r="B422" s="113" t="s">
        <v>17</v>
      </c>
    </row>
    <row r="423" spans="1:2" x14ac:dyDescent="0.3">
      <c r="A423" s="113" t="s">
        <v>30</v>
      </c>
      <c r="B423" s="113" t="s">
        <v>17</v>
      </c>
    </row>
    <row r="424" spans="1:2" x14ac:dyDescent="0.3">
      <c r="A424" s="113" t="s">
        <v>30</v>
      </c>
      <c r="B424" s="113" t="s">
        <v>17</v>
      </c>
    </row>
    <row r="425" spans="1:2" x14ac:dyDescent="0.3">
      <c r="A425" s="113" t="s">
        <v>30</v>
      </c>
      <c r="B425" s="113" t="s">
        <v>17</v>
      </c>
    </row>
    <row r="426" spans="1:2" x14ac:dyDescent="0.3">
      <c r="A426" s="113" t="s">
        <v>30</v>
      </c>
      <c r="B426" s="113" t="s">
        <v>17</v>
      </c>
    </row>
    <row r="427" spans="1:2" x14ac:dyDescent="0.3">
      <c r="A427" s="113" t="s">
        <v>30</v>
      </c>
      <c r="B427" s="113" t="s">
        <v>17</v>
      </c>
    </row>
    <row r="428" spans="1:2" x14ac:dyDescent="0.3">
      <c r="A428" s="113" t="s">
        <v>30</v>
      </c>
      <c r="B428" s="113" t="s">
        <v>17</v>
      </c>
    </row>
    <row r="429" spans="1:2" x14ac:dyDescent="0.3">
      <c r="A429" s="113" t="s">
        <v>30</v>
      </c>
      <c r="B429" s="113" t="s">
        <v>17</v>
      </c>
    </row>
    <row r="430" spans="1:2" x14ac:dyDescent="0.3">
      <c r="A430" s="113" t="s">
        <v>30</v>
      </c>
      <c r="B430" s="113" t="s">
        <v>17</v>
      </c>
    </row>
    <row r="431" spans="1:2" x14ac:dyDescent="0.3">
      <c r="A431" s="113" t="s">
        <v>30</v>
      </c>
      <c r="B431" s="113" t="s">
        <v>17</v>
      </c>
    </row>
    <row r="432" spans="1:2" x14ac:dyDescent="0.3">
      <c r="A432" s="113" t="s">
        <v>30</v>
      </c>
      <c r="B432" s="113" t="s">
        <v>17</v>
      </c>
    </row>
    <row r="433" spans="1:2" x14ac:dyDescent="0.3">
      <c r="A433" s="113" t="s">
        <v>30</v>
      </c>
      <c r="B433" s="113" t="s">
        <v>17</v>
      </c>
    </row>
    <row r="434" spans="1:2" x14ac:dyDescent="0.3">
      <c r="A434" s="113" t="s">
        <v>30</v>
      </c>
      <c r="B434" s="113" t="s">
        <v>17</v>
      </c>
    </row>
    <row r="435" spans="1:2" x14ac:dyDescent="0.3">
      <c r="A435" s="113" t="s">
        <v>30</v>
      </c>
      <c r="B435" s="113" t="s">
        <v>17</v>
      </c>
    </row>
    <row r="436" spans="1:2" x14ac:dyDescent="0.3">
      <c r="A436" s="113" t="s">
        <v>30</v>
      </c>
      <c r="B436" s="113" t="s">
        <v>17</v>
      </c>
    </row>
    <row r="437" spans="1:2" x14ac:dyDescent="0.3">
      <c r="A437" s="113" t="s">
        <v>30</v>
      </c>
      <c r="B437" s="113" t="s">
        <v>17</v>
      </c>
    </row>
    <row r="438" spans="1:2" x14ac:dyDescent="0.3">
      <c r="A438" s="113" t="s">
        <v>30</v>
      </c>
      <c r="B438" s="113" t="s">
        <v>17</v>
      </c>
    </row>
    <row r="439" spans="1:2" x14ac:dyDescent="0.3">
      <c r="A439" s="113" t="s">
        <v>30</v>
      </c>
      <c r="B439" s="113" t="s">
        <v>17</v>
      </c>
    </row>
    <row r="440" spans="1:2" x14ac:dyDescent="0.3">
      <c r="A440" s="113" t="s">
        <v>30</v>
      </c>
      <c r="B440" s="113" t="s">
        <v>17</v>
      </c>
    </row>
    <row r="441" spans="1:2" x14ac:dyDescent="0.3">
      <c r="A441" s="113" t="s">
        <v>30</v>
      </c>
      <c r="B441" s="113" t="s">
        <v>17</v>
      </c>
    </row>
    <row r="442" spans="1:2" x14ac:dyDescent="0.3">
      <c r="A442" s="113" t="s">
        <v>30</v>
      </c>
      <c r="B442" s="113" t="s">
        <v>17</v>
      </c>
    </row>
    <row r="443" spans="1:2" x14ac:dyDescent="0.3">
      <c r="A443" s="113" t="s">
        <v>30</v>
      </c>
      <c r="B443" s="113" t="s">
        <v>17</v>
      </c>
    </row>
    <row r="444" spans="1:2" x14ac:dyDescent="0.3">
      <c r="A444" s="113" t="s">
        <v>30</v>
      </c>
      <c r="B444" s="113" t="s">
        <v>17</v>
      </c>
    </row>
    <row r="445" spans="1:2" x14ac:dyDescent="0.3">
      <c r="A445" s="113" t="s">
        <v>30</v>
      </c>
      <c r="B445" s="113" t="s">
        <v>17</v>
      </c>
    </row>
    <row r="446" spans="1:2" x14ac:dyDescent="0.3">
      <c r="A446" s="113" t="s">
        <v>30</v>
      </c>
      <c r="B446" s="113" t="s">
        <v>17</v>
      </c>
    </row>
    <row r="447" spans="1:2" x14ac:dyDescent="0.3">
      <c r="A447" s="113" t="s">
        <v>30</v>
      </c>
      <c r="B447" s="113" t="s">
        <v>17</v>
      </c>
    </row>
    <row r="448" spans="1:2" x14ac:dyDescent="0.3">
      <c r="A448" s="113" t="s">
        <v>30</v>
      </c>
      <c r="B448" s="113" t="s">
        <v>17</v>
      </c>
    </row>
    <row r="449" spans="1:2" x14ac:dyDescent="0.3">
      <c r="A449" s="113" t="s">
        <v>30</v>
      </c>
      <c r="B449" s="113" t="s">
        <v>17</v>
      </c>
    </row>
    <row r="450" spans="1:2" x14ac:dyDescent="0.3">
      <c r="A450" s="113" t="s">
        <v>30</v>
      </c>
      <c r="B450" s="113" t="s">
        <v>17</v>
      </c>
    </row>
    <row r="451" spans="1:2" x14ac:dyDescent="0.3">
      <c r="A451" s="113" t="s">
        <v>30</v>
      </c>
      <c r="B451" s="113" t="s">
        <v>17</v>
      </c>
    </row>
    <row r="452" spans="1:2" x14ac:dyDescent="0.3">
      <c r="A452" s="113" t="s">
        <v>30</v>
      </c>
      <c r="B452" s="113" t="s">
        <v>17</v>
      </c>
    </row>
    <row r="453" spans="1:2" x14ac:dyDescent="0.3">
      <c r="A453" s="113" t="s">
        <v>30</v>
      </c>
      <c r="B453" s="113" t="s">
        <v>17</v>
      </c>
    </row>
    <row r="454" spans="1:2" x14ac:dyDescent="0.3">
      <c r="A454" s="113" t="s">
        <v>30</v>
      </c>
      <c r="B454" s="113" t="s">
        <v>17</v>
      </c>
    </row>
    <row r="455" spans="1:2" x14ac:dyDescent="0.3">
      <c r="A455" s="113" t="s">
        <v>30</v>
      </c>
      <c r="B455" s="113" t="s">
        <v>17</v>
      </c>
    </row>
    <row r="456" spans="1:2" x14ac:dyDescent="0.3">
      <c r="A456" s="113" t="s">
        <v>30</v>
      </c>
      <c r="B456" s="113" t="s">
        <v>17</v>
      </c>
    </row>
    <row r="457" spans="1:2" x14ac:dyDescent="0.3">
      <c r="A457" s="113" t="s">
        <v>30</v>
      </c>
      <c r="B457" s="113" t="s">
        <v>17</v>
      </c>
    </row>
    <row r="458" spans="1:2" x14ac:dyDescent="0.3">
      <c r="A458" s="113" t="s">
        <v>30</v>
      </c>
      <c r="B458" s="113" t="s">
        <v>17</v>
      </c>
    </row>
    <row r="459" spans="1:2" x14ac:dyDescent="0.3">
      <c r="A459" s="113" t="s">
        <v>30</v>
      </c>
      <c r="B459" s="113" t="s">
        <v>17</v>
      </c>
    </row>
    <row r="460" spans="1:2" x14ac:dyDescent="0.3">
      <c r="A460" s="113" t="s">
        <v>30</v>
      </c>
      <c r="B460" s="113" t="s">
        <v>17</v>
      </c>
    </row>
    <row r="461" spans="1:2" x14ac:dyDescent="0.3">
      <c r="A461" s="113" t="s">
        <v>30</v>
      </c>
      <c r="B461" s="113" t="s">
        <v>17</v>
      </c>
    </row>
    <row r="462" spans="1:2" x14ac:dyDescent="0.3">
      <c r="A462" s="113" t="s">
        <v>30</v>
      </c>
      <c r="B462" s="113" t="s">
        <v>17</v>
      </c>
    </row>
    <row r="463" spans="1:2" x14ac:dyDescent="0.3">
      <c r="A463" s="113" t="s">
        <v>30</v>
      </c>
      <c r="B463" s="113" t="s">
        <v>17</v>
      </c>
    </row>
    <row r="464" spans="1:2" x14ac:dyDescent="0.3">
      <c r="A464" s="113" t="s">
        <v>30</v>
      </c>
      <c r="B464" s="113" t="s">
        <v>17</v>
      </c>
    </row>
    <row r="465" spans="1:2" x14ac:dyDescent="0.3">
      <c r="A465" s="113" t="s">
        <v>30</v>
      </c>
      <c r="B465" s="113" t="s">
        <v>17</v>
      </c>
    </row>
    <row r="466" spans="1:2" x14ac:dyDescent="0.3">
      <c r="A466" s="113" t="s">
        <v>30</v>
      </c>
      <c r="B466" s="113" t="s">
        <v>17</v>
      </c>
    </row>
    <row r="467" spans="1:2" x14ac:dyDescent="0.3">
      <c r="A467" s="113" t="s">
        <v>30</v>
      </c>
      <c r="B467" s="113" t="s">
        <v>17</v>
      </c>
    </row>
    <row r="468" spans="1:2" x14ac:dyDescent="0.3">
      <c r="A468" s="113" t="s">
        <v>30</v>
      </c>
      <c r="B468" s="113" t="s">
        <v>17</v>
      </c>
    </row>
    <row r="469" spans="1:2" x14ac:dyDescent="0.3">
      <c r="A469" s="113" t="s">
        <v>30</v>
      </c>
      <c r="B469" s="113" t="s">
        <v>17</v>
      </c>
    </row>
    <row r="470" spans="1:2" x14ac:dyDescent="0.3">
      <c r="A470" s="113" t="s">
        <v>30</v>
      </c>
      <c r="B470" s="113" t="s">
        <v>17</v>
      </c>
    </row>
    <row r="471" spans="1:2" x14ac:dyDescent="0.3">
      <c r="A471" s="113" t="s">
        <v>30</v>
      </c>
      <c r="B471" s="113" t="s">
        <v>17</v>
      </c>
    </row>
    <row r="472" spans="1:2" x14ac:dyDescent="0.3">
      <c r="A472" s="113" t="s">
        <v>30</v>
      </c>
      <c r="B472" s="113" t="s">
        <v>17</v>
      </c>
    </row>
    <row r="473" spans="1:2" x14ac:dyDescent="0.3">
      <c r="A473" s="113" t="s">
        <v>30</v>
      </c>
      <c r="B473" s="113" t="s">
        <v>17</v>
      </c>
    </row>
    <row r="474" spans="1:2" x14ac:dyDescent="0.3">
      <c r="A474" s="113" t="s">
        <v>30</v>
      </c>
      <c r="B474" s="113" t="s">
        <v>17</v>
      </c>
    </row>
    <row r="475" spans="1:2" x14ac:dyDescent="0.3">
      <c r="A475" s="113" t="s">
        <v>30</v>
      </c>
      <c r="B475" s="113" t="s">
        <v>17</v>
      </c>
    </row>
    <row r="476" spans="1:2" x14ac:dyDescent="0.3">
      <c r="A476" s="113" t="s">
        <v>30</v>
      </c>
      <c r="B476" s="113" t="s">
        <v>17</v>
      </c>
    </row>
    <row r="477" spans="1:2" x14ac:dyDescent="0.3">
      <c r="A477" s="113" t="s">
        <v>30</v>
      </c>
      <c r="B477" s="113" t="s">
        <v>17</v>
      </c>
    </row>
    <row r="478" spans="1:2" x14ac:dyDescent="0.3">
      <c r="A478" s="113" t="s">
        <v>30</v>
      </c>
      <c r="B478" s="113" t="s">
        <v>17</v>
      </c>
    </row>
    <row r="479" spans="1:2" x14ac:dyDescent="0.3">
      <c r="A479" s="113" t="s">
        <v>30</v>
      </c>
      <c r="B479" s="113" t="s">
        <v>17</v>
      </c>
    </row>
    <row r="480" spans="1:2" x14ac:dyDescent="0.3">
      <c r="A480" s="113" t="s">
        <v>30</v>
      </c>
      <c r="B480" s="113" t="s">
        <v>17</v>
      </c>
    </row>
    <row r="481" spans="1:2" x14ac:dyDescent="0.3">
      <c r="A481" s="113" t="s">
        <v>30</v>
      </c>
      <c r="B481" s="113" t="s">
        <v>17</v>
      </c>
    </row>
    <row r="482" spans="1:2" x14ac:dyDescent="0.3">
      <c r="A482" s="113" t="s">
        <v>30</v>
      </c>
      <c r="B482" s="113" t="s">
        <v>17</v>
      </c>
    </row>
    <row r="483" spans="1:2" x14ac:dyDescent="0.3">
      <c r="A483" s="113" t="s">
        <v>30</v>
      </c>
      <c r="B483" s="113" t="s">
        <v>17</v>
      </c>
    </row>
    <row r="484" spans="1:2" x14ac:dyDescent="0.3">
      <c r="A484" s="113" t="s">
        <v>30</v>
      </c>
      <c r="B484" s="113" t="s">
        <v>17</v>
      </c>
    </row>
    <row r="485" spans="1:2" x14ac:dyDescent="0.3">
      <c r="A485" s="113" t="s">
        <v>30</v>
      </c>
      <c r="B485" s="113" t="s">
        <v>17</v>
      </c>
    </row>
    <row r="486" spans="1:2" x14ac:dyDescent="0.3">
      <c r="A486" s="113" t="s">
        <v>30</v>
      </c>
      <c r="B486" s="113" t="s">
        <v>17</v>
      </c>
    </row>
    <row r="487" spans="1:2" x14ac:dyDescent="0.3">
      <c r="A487" s="113" t="s">
        <v>30</v>
      </c>
      <c r="B487" s="113" t="s">
        <v>17</v>
      </c>
    </row>
    <row r="488" spans="1:2" x14ac:dyDescent="0.3">
      <c r="A488" s="113" t="s">
        <v>30</v>
      </c>
      <c r="B488" s="113" t="s">
        <v>17</v>
      </c>
    </row>
    <row r="489" spans="1:2" x14ac:dyDescent="0.3">
      <c r="A489" s="113" t="s">
        <v>30</v>
      </c>
      <c r="B489" s="113" t="s">
        <v>17</v>
      </c>
    </row>
    <row r="490" spans="1:2" x14ac:dyDescent="0.3">
      <c r="A490" s="113" t="s">
        <v>30</v>
      </c>
      <c r="B490" s="113" t="s">
        <v>17</v>
      </c>
    </row>
    <row r="491" spans="1:2" x14ac:dyDescent="0.3">
      <c r="A491" s="113" t="s">
        <v>30</v>
      </c>
      <c r="B491" s="113" t="s">
        <v>17</v>
      </c>
    </row>
    <row r="492" spans="1:2" x14ac:dyDescent="0.3">
      <c r="A492" s="113" t="s">
        <v>30</v>
      </c>
      <c r="B492" s="113" t="s">
        <v>17</v>
      </c>
    </row>
    <row r="493" spans="1:2" x14ac:dyDescent="0.3">
      <c r="A493" s="113" t="s">
        <v>30</v>
      </c>
      <c r="B493" s="113" t="s">
        <v>17</v>
      </c>
    </row>
    <row r="494" spans="1:2" x14ac:dyDescent="0.3">
      <c r="A494" s="113" t="s">
        <v>30</v>
      </c>
      <c r="B494" s="113" t="s">
        <v>17</v>
      </c>
    </row>
    <row r="495" spans="1:2" x14ac:dyDescent="0.3">
      <c r="A495" s="113" t="s">
        <v>30</v>
      </c>
      <c r="B495" s="113" t="s">
        <v>17</v>
      </c>
    </row>
    <row r="496" spans="1:2" x14ac:dyDescent="0.3">
      <c r="A496" s="113" t="s">
        <v>30</v>
      </c>
      <c r="B496" s="113" t="s">
        <v>17</v>
      </c>
    </row>
    <row r="497" spans="1:2" x14ac:dyDescent="0.3">
      <c r="A497" s="113" t="s">
        <v>30</v>
      </c>
      <c r="B497" s="113" t="s">
        <v>17</v>
      </c>
    </row>
    <row r="498" spans="1:2" x14ac:dyDescent="0.3">
      <c r="A498" s="113" t="s">
        <v>30</v>
      </c>
      <c r="B498" s="113" t="s">
        <v>17</v>
      </c>
    </row>
    <row r="499" spans="1:2" x14ac:dyDescent="0.3">
      <c r="A499" s="113" t="s">
        <v>30</v>
      </c>
      <c r="B499" s="113" t="s">
        <v>17</v>
      </c>
    </row>
    <row r="500" spans="1:2" x14ac:dyDescent="0.3">
      <c r="A500" s="113" t="s">
        <v>30</v>
      </c>
      <c r="B500" s="113" t="s">
        <v>17</v>
      </c>
    </row>
    <row r="501" spans="1:2" x14ac:dyDescent="0.3">
      <c r="A501" s="113" t="s">
        <v>30</v>
      </c>
      <c r="B501" s="113" t="s">
        <v>17</v>
      </c>
    </row>
    <row r="502" spans="1:2" x14ac:dyDescent="0.3">
      <c r="A502" s="113" t="s">
        <v>30</v>
      </c>
      <c r="B502" s="113" t="s">
        <v>17</v>
      </c>
    </row>
    <row r="503" spans="1:2" x14ac:dyDescent="0.3">
      <c r="A503" s="113" t="s">
        <v>30</v>
      </c>
      <c r="B503" s="113" t="s">
        <v>17</v>
      </c>
    </row>
    <row r="504" spans="1:2" x14ac:dyDescent="0.3">
      <c r="A504" s="113" t="s">
        <v>30</v>
      </c>
      <c r="B504" s="113" t="s">
        <v>17</v>
      </c>
    </row>
    <row r="505" spans="1:2" x14ac:dyDescent="0.3">
      <c r="A505" s="113" t="s">
        <v>30</v>
      </c>
      <c r="B505" s="113" t="s">
        <v>17</v>
      </c>
    </row>
    <row r="506" spans="1:2" x14ac:dyDescent="0.3">
      <c r="A506" s="113" t="s">
        <v>30</v>
      </c>
      <c r="B506" s="113" t="s">
        <v>17</v>
      </c>
    </row>
    <row r="507" spans="1:2" x14ac:dyDescent="0.3">
      <c r="A507" s="113" t="s">
        <v>30</v>
      </c>
      <c r="B507" s="113" t="s">
        <v>17</v>
      </c>
    </row>
    <row r="508" spans="1:2" x14ac:dyDescent="0.3">
      <c r="A508" s="113" t="s">
        <v>30</v>
      </c>
      <c r="B508" s="113" t="s">
        <v>17</v>
      </c>
    </row>
    <row r="509" spans="1:2" x14ac:dyDescent="0.3">
      <c r="A509" s="113" t="s">
        <v>30</v>
      </c>
      <c r="B509" s="113" t="s">
        <v>17</v>
      </c>
    </row>
    <row r="510" spans="1:2" x14ac:dyDescent="0.3">
      <c r="A510" s="113" t="s">
        <v>30</v>
      </c>
      <c r="B510" s="113" t="s">
        <v>17</v>
      </c>
    </row>
    <row r="511" spans="1:2" x14ac:dyDescent="0.3">
      <c r="A511" s="113" t="s">
        <v>30</v>
      </c>
      <c r="B511" s="113" t="s">
        <v>17</v>
      </c>
    </row>
    <row r="512" spans="1:2" x14ac:dyDescent="0.3">
      <c r="A512" s="113" t="s">
        <v>30</v>
      </c>
      <c r="B512" s="113" t="s">
        <v>17</v>
      </c>
    </row>
    <row r="513" spans="1:2" x14ac:dyDescent="0.3">
      <c r="A513" s="113" t="s">
        <v>30</v>
      </c>
      <c r="B513" s="113" t="s">
        <v>17</v>
      </c>
    </row>
    <row r="514" spans="1:2" x14ac:dyDescent="0.3">
      <c r="A514" s="113" t="s">
        <v>30</v>
      </c>
      <c r="B514" s="113" t="s">
        <v>17</v>
      </c>
    </row>
    <row r="515" spans="1:2" x14ac:dyDescent="0.3">
      <c r="A515" s="113" t="s">
        <v>30</v>
      </c>
      <c r="B515" s="113" t="s">
        <v>17</v>
      </c>
    </row>
    <row r="516" spans="1:2" x14ac:dyDescent="0.3">
      <c r="A516" s="113" t="s">
        <v>30</v>
      </c>
      <c r="B516" s="113" t="s">
        <v>17</v>
      </c>
    </row>
    <row r="517" spans="1:2" x14ac:dyDescent="0.3">
      <c r="A517" s="113" t="s">
        <v>30</v>
      </c>
      <c r="B517" s="113" t="s">
        <v>17</v>
      </c>
    </row>
    <row r="518" spans="1:2" x14ac:dyDescent="0.3">
      <c r="A518" s="113" t="s">
        <v>30</v>
      </c>
      <c r="B518" s="113" t="s">
        <v>17</v>
      </c>
    </row>
    <row r="519" spans="1:2" x14ac:dyDescent="0.3">
      <c r="A519" s="113" t="s">
        <v>30</v>
      </c>
      <c r="B519" s="113" t="s">
        <v>17</v>
      </c>
    </row>
    <row r="520" spans="1:2" x14ac:dyDescent="0.3">
      <c r="A520" s="113" t="s">
        <v>30</v>
      </c>
      <c r="B520" s="113" t="s">
        <v>17</v>
      </c>
    </row>
    <row r="521" spans="1:2" x14ac:dyDescent="0.3">
      <c r="A521" s="113" t="s">
        <v>30</v>
      </c>
      <c r="B521" s="113" t="s">
        <v>17</v>
      </c>
    </row>
    <row r="522" spans="1:2" x14ac:dyDescent="0.3">
      <c r="A522" s="113" t="s">
        <v>30</v>
      </c>
      <c r="B522" s="113" t="s">
        <v>17</v>
      </c>
    </row>
    <row r="523" spans="1:2" x14ac:dyDescent="0.3">
      <c r="A523" s="113" t="s">
        <v>30</v>
      </c>
      <c r="B523" s="113" t="s">
        <v>17</v>
      </c>
    </row>
    <row r="524" spans="1:2" x14ac:dyDescent="0.3">
      <c r="A524" s="113" t="s">
        <v>30</v>
      </c>
      <c r="B524" s="113" t="s">
        <v>17</v>
      </c>
    </row>
    <row r="525" spans="1:2" x14ac:dyDescent="0.3">
      <c r="A525" s="113" t="s">
        <v>30</v>
      </c>
      <c r="B525" s="113" t="s">
        <v>17</v>
      </c>
    </row>
    <row r="526" spans="1:2" x14ac:dyDescent="0.3">
      <c r="A526" s="113" t="s">
        <v>30</v>
      </c>
      <c r="B526" s="113" t="s">
        <v>17</v>
      </c>
    </row>
    <row r="527" spans="1:2" x14ac:dyDescent="0.3">
      <c r="A527" s="113" t="s">
        <v>30</v>
      </c>
      <c r="B527" s="113" t="s">
        <v>17</v>
      </c>
    </row>
    <row r="528" spans="1:2" x14ac:dyDescent="0.3">
      <c r="A528" s="113" t="s">
        <v>30</v>
      </c>
      <c r="B528" s="113" t="s">
        <v>17</v>
      </c>
    </row>
    <row r="529" spans="1:2" x14ac:dyDescent="0.3">
      <c r="A529" s="113" t="s">
        <v>30</v>
      </c>
      <c r="B529" s="113" t="s">
        <v>17</v>
      </c>
    </row>
    <row r="530" spans="1:2" x14ac:dyDescent="0.3">
      <c r="A530" s="113" t="s">
        <v>30</v>
      </c>
      <c r="B530" s="113" t="s">
        <v>17</v>
      </c>
    </row>
    <row r="531" spans="1:2" x14ac:dyDescent="0.3">
      <c r="A531" s="113" t="s">
        <v>30</v>
      </c>
      <c r="B531" s="113" t="s">
        <v>17</v>
      </c>
    </row>
    <row r="532" spans="1:2" x14ac:dyDescent="0.3">
      <c r="A532" s="113" t="s">
        <v>30</v>
      </c>
      <c r="B532" s="113" t="s">
        <v>17</v>
      </c>
    </row>
    <row r="533" spans="1:2" x14ac:dyDescent="0.3">
      <c r="A533" s="113" t="s">
        <v>30</v>
      </c>
      <c r="B533" s="113" t="s">
        <v>17</v>
      </c>
    </row>
    <row r="534" spans="1:2" x14ac:dyDescent="0.3">
      <c r="A534" s="113" t="s">
        <v>30</v>
      </c>
      <c r="B534" s="113" t="s">
        <v>17</v>
      </c>
    </row>
    <row r="535" spans="1:2" x14ac:dyDescent="0.3">
      <c r="A535" s="113" t="s">
        <v>30</v>
      </c>
      <c r="B535" s="113" t="s">
        <v>17</v>
      </c>
    </row>
    <row r="536" spans="1:2" x14ac:dyDescent="0.3">
      <c r="A536" s="113" t="s">
        <v>30</v>
      </c>
      <c r="B536" s="113" t="s">
        <v>17</v>
      </c>
    </row>
    <row r="537" spans="1:2" x14ac:dyDescent="0.3">
      <c r="A537" s="113" t="s">
        <v>30</v>
      </c>
      <c r="B537" s="113" t="s">
        <v>17</v>
      </c>
    </row>
    <row r="538" spans="1:2" x14ac:dyDescent="0.3">
      <c r="A538" s="113" t="s">
        <v>30</v>
      </c>
      <c r="B538" s="113" t="s">
        <v>17</v>
      </c>
    </row>
    <row r="539" spans="1:2" x14ac:dyDescent="0.3">
      <c r="A539" s="113" t="s">
        <v>30</v>
      </c>
      <c r="B539" s="113" t="s">
        <v>17</v>
      </c>
    </row>
    <row r="540" spans="1:2" x14ac:dyDescent="0.3">
      <c r="A540" s="113" t="s">
        <v>30</v>
      </c>
      <c r="B540" s="113" t="s">
        <v>17</v>
      </c>
    </row>
    <row r="541" spans="1:2" x14ac:dyDescent="0.3">
      <c r="A541" s="113" t="s">
        <v>30</v>
      </c>
      <c r="B541" s="113" t="s">
        <v>17</v>
      </c>
    </row>
    <row r="542" spans="1:2" x14ac:dyDescent="0.3">
      <c r="A542" s="113" t="s">
        <v>30</v>
      </c>
      <c r="B542" s="113" t="s">
        <v>17</v>
      </c>
    </row>
    <row r="543" spans="1:2" x14ac:dyDescent="0.3">
      <c r="A543" s="113" t="s">
        <v>30</v>
      </c>
      <c r="B543" s="113" t="s">
        <v>17</v>
      </c>
    </row>
    <row r="544" spans="1:2" x14ac:dyDescent="0.3">
      <c r="A544" s="113" t="s">
        <v>30</v>
      </c>
      <c r="B544" s="113" t="s">
        <v>17</v>
      </c>
    </row>
    <row r="545" spans="1:2" x14ac:dyDescent="0.3">
      <c r="A545" s="113" t="s">
        <v>30</v>
      </c>
      <c r="B545" s="113" t="s">
        <v>17</v>
      </c>
    </row>
    <row r="546" spans="1:2" x14ac:dyDescent="0.3">
      <c r="A546" s="113" t="s">
        <v>30</v>
      </c>
      <c r="B546" s="113" t="s">
        <v>17</v>
      </c>
    </row>
    <row r="547" spans="1:2" x14ac:dyDescent="0.3">
      <c r="A547" s="113" t="s">
        <v>30</v>
      </c>
      <c r="B547" s="113" t="s">
        <v>17</v>
      </c>
    </row>
    <row r="548" spans="1:2" x14ac:dyDescent="0.3">
      <c r="A548" s="113" t="s">
        <v>30</v>
      </c>
      <c r="B548" s="113" t="s">
        <v>17</v>
      </c>
    </row>
    <row r="549" spans="1:2" x14ac:dyDescent="0.3">
      <c r="A549" s="113" t="s">
        <v>30</v>
      </c>
      <c r="B549" s="113" t="s">
        <v>17</v>
      </c>
    </row>
    <row r="550" spans="1:2" x14ac:dyDescent="0.3">
      <c r="A550" s="113" t="s">
        <v>30</v>
      </c>
      <c r="B550" s="113" t="s">
        <v>17</v>
      </c>
    </row>
    <row r="551" spans="1:2" x14ac:dyDescent="0.3">
      <c r="A551" s="113" t="s">
        <v>30</v>
      </c>
      <c r="B551" s="113" t="s">
        <v>17</v>
      </c>
    </row>
    <row r="552" spans="1:2" x14ac:dyDescent="0.3">
      <c r="A552" s="113" t="s">
        <v>30</v>
      </c>
      <c r="B552" s="113" t="s">
        <v>17</v>
      </c>
    </row>
    <row r="553" spans="1:2" x14ac:dyDescent="0.3">
      <c r="A553" s="113" t="s">
        <v>30</v>
      </c>
      <c r="B553" s="113" t="s">
        <v>17</v>
      </c>
    </row>
    <row r="554" spans="1:2" x14ac:dyDescent="0.3">
      <c r="A554" s="113" t="s">
        <v>30</v>
      </c>
      <c r="B554" s="113" t="s">
        <v>17</v>
      </c>
    </row>
    <row r="555" spans="1:2" x14ac:dyDescent="0.3">
      <c r="A555" s="113" t="s">
        <v>30</v>
      </c>
      <c r="B555" s="113" t="s">
        <v>17</v>
      </c>
    </row>
    <row r="556" spans="1:2" x14ac:dyDescent="0.3">
      <c r="A556" s="113" t="s">
        <v>30</v>
      </c>
      <c r="B556" s="113" t="s">
        <v>17</v>
      </c>
    </row>
    <row r="557" spans="1:2" x14ac:dyDescent="0.3">
      <c r="A557" s="113" t="s">
        <v>30</v>
      </c>
      <c r="B557" s="113" t="s">
        <v>17</v>
      </c>
    </row>
    <row r="558" spans="1:2" x14ac:dyDescent="0.3">
      <c r="A558" s="113" t="s">
        <v>30</v>
      </c>
      <c r="B558" s="113" t="s">
        <v>17</v>
      </c>
    </row>
    <row r="559" spans="1:2" x14ac:dyDescent="0.3">
      <c r="A559" s="113" t="s">
        <v>30</v>
      </c>
      <c r="B559" s="113" t="s">
        <v>17</v>
      </c>
    </row>
    <row r="560" spans="1:2" x14ac:dyDescent="0.3">
      <c r="A560" s="113" t="s">
        <v>30</v>
      </c>
      <c r="B560" s="113" t="s">
        <v>17</v>
      </c>
    </row>
    <row r="561" spans="1:2" x14ac:dyDescent="0.3">
      <c r="A561" s="113" t="s">
        <v>30</v>
      </c>
      <c r="B561" s="113" t="s">
        <v>17</v>
      </c>
    </row>
    <row r="562" spans="1:2" x14ac:dyDescent="0.3">
      <c r="A562" s="113" t="s">
        <v>30</v>
      </c>
      <c r="B562" s="113" t="s">
        <v>17</v>
      </c>
    </row>
    <row r="563" spans="1:2" x14ac:dyDescent="0.3">
      <c r="A563" s="113" t="s">
        <v>30</v>
      </c>
      <c r="B563" s="113" t="s">
        <v>17</v>
      </c>
    </row>
    <row r="564" spans="1:2" x14ac:dyDescent="0.3">
      <c r="A564" s="113" t="s">
        <v>30</v>
      </c>
      <c r="B564" s="113" t="s">
        <v>17</v>
      </c>
    </row>
    <row r="565" spans="1:2" x14ac:dyDescent="0.3">
      <c r="A565" s="113" t="s">
        <v>30</v>
      </c>
      <c r="B565" s="113" t="s">
        <v>17</v>
      </c>
    </row>
    <row r="566" spans="1:2" x14ac:dyDescent="0.3">
      <c r="A566" s="113" t="s">
        <v>30</v>
      </c>
      <c r="B566" s="113" t="s">
        <v>17</v>
      </c>
    </row>
    <row r="567" spans="1:2" x14ac:dyDescent="0.3">
      <c r="A567" s="113" t="s">
        <v>30</v>
      </c>
      <c r="B567" s="113" t="s">
        <v>17</v>
      </c>
    </row>
    <row r="568" spans="1:2" x14ac:dyDescent="0.3">
      <c r="A568" s="113" t="s">
        <v>30</v>
      </c>
      <c r="B568" s="113" t="s">
        <v>17</v>
      </c>
    </row>
    <row r="569" spans="1:2" x14ac:dyDescent="0.3">
      <c r="A569" s="113" t="s">
        <v>30</v>
      </c>
      <c r="B569" s="113" t="s">
        <v>17</v>
      </c>
    </row>
    <row r="570" spans="1:2" x14ac:dyDescent="0.3">
      <c r="A570" s="113" t="s">
        <v>30</v>
      </c>
      <c r="B570" s="113" t="s">
        <v>17</v>
      </c>
    </row>
    <row r="571" spans="1:2" x14ac:dyDescent="0.3">
      <c r="A571" s="113" t="s">
        <v>30</v>
      </c>
      <c r="B571" s="113" t="s">
        <v>17</v>
      </c>
    </row>
    <row r="572" spans="1:2" x14ac:dyDescent="0.3">
      <c r="A572" s="113" t="s">
        <v>30</v>
      </c>
      <c r="B572" s="113" t="s">
        <v>17</v>
      </c>
    </row>
    <row r="573" spans="1:2" x14ac:dyDescent="0.3">
      <c r="A573" s="113" t="s">
        <v>30</v>
      </c>
      <c r="B573" s="113" t="s">
        <v>17</v>
      </c>
    </row>
    <row r="574" spans="1:2" x14ac:dyDescent="0.3">
      <c r="A574" s="113" t="s">
        <v>30</v>
      </c>
      <c r="B574" s="113" t="s">
        <v>17</v>
      </c>
    </row>
    <row r="575" spans="1:2" x14ac:dyDescent="0.3">
      <c r="A575" s="113" t="s">
        <v>30</v>
      </c>
      <c r="B575" s="113" t="s">
        <v>17</v>
      </c>
    </row>
    <row r="576" spans="1:2" x14ac:dyDescent="0.3">
      <c r="A576" s="113" t="s">
        <v>30</v>
      </c>
      <c r="B576" s="113" t="s">
        <v>17</v>
      </c>
    </row>
    <row r="577" spans="1:2" x14ac:dyDescent="0.3">
      <c r="A577" s="113" t="s">
        <v>30</v>
      </c>
      <c r="B577" s="113" t="s">
        <v>17</v>
      </c>
    </row>
    <row r="578" spans="1:2" x14ac:dyDescent="0.3">
      <c r="A578" s="113" t="s">
        <v>30</v>
      </c>
      <c r="B578" s="113" t="s">
        <v>17</v>
      </c>
    </row>
    <row r="579" spans="1:2" x14ac:dyDescent="0.3">
      <c r="A579" s="113" t="s">
        <v>30</v>
      </c>
      <c r="B579" s="113" t="s">
        <v>17</v>
      </c>
    </row>
    <row r="580" spans="1:2" x14ac:dyDescent="0.3">
      <c r="A580" s="113" t="s">
        <v>30</v>
      </c>
      <c r="B580" s="113" t="s">
        <v>17</v>
      </c>
    </row>
    <row r="581" spans="1:2" x14ac:dyDescent="0.3">
      <c r="A581" s="113" t="s">
        <v>30</v>
      </c>
      <c r="B581" s="113" t="s">
        <v>17</v>
      </c>
    </row>
    <row r="582" spans="1:2" x14ac:dyDescent="0.3">
      <c r="A582" s="113" t="s">
        <v>30</v>
      </c>
      <c r="B582" s="113" t="s">
        <v>17</v>
      </c>
    </row>
    <row r="583" spans="1:2" x14ac:dyDescent="0.3">
      <c r="A583" s="113" t="s">
        <v>30</v>
      </c>
      <c r="B583" s="113" t="s">
        <v>17</v>
      </c>
    </row>
    <row r="584" spans="1:2" x14ac:dyDescent="0.3">
      <c r="A584" s="113" t="s">
        <v>30</v>
      </c>
      <c r="B584" s="113" t="s">
        <v>17</v>
      </c>
    </row>
    <row r="585" spans="1:2" x14ac:dyDescent="0.3">
      <c r="A585" s="113" t="s">
        <v>30</v>
      </c>
      <c r="B585" s="113" t="s">
        <v>17</v>
      </c>
    </row>
    <row r="586" spans="1:2" x14ac:dyDescent="0.3">
      <c r="A586" s="113" t="s">
        <v>30</v>
      </c>
      <c r="B586" s="113" t="s">
        <v>17</v>
      </c>
    </row>
    <row r="587" spans="1:2" x14ac:dyDescent="0.3">
      <c r="A587" s="113" t="s">
        <v>30</v>
      </c>
      <c r="B587" s="113" t="s">
        <v>17</v>
      </c>
    </row>
    <row r="588" spans="1:2" x14ac:dyDescent="0.3">
      <c r="A588" s="113" t="s">
        <v>35</v>
      </c>
      <c r="B588" s="113" t="s">
        <v>17</v>
      </c>
    </row>
    <row r="589" spans="1:2" x14ac:dyDescent="0.3">
      <c r="A589" s="113" t="s">
        <v>35</v>
      </c>
      <c r="B589" s="113" t="s">
        <v>17</v>
      </c>
    </row>
    <row r="590" spans="1:2" x14ac:dyDescent="0.3">
      <c r="A590" s="113" t="s">
        <v>35</v>
      </c>
      <c r="B590" s="113" t="s">
        <v>17</v>
      </c>
    </row>
    <row r="591" spans="1:2" x14ac:dyDescent="0.3">
      <c r="A591" s="113" t="s">
        <v>35</v>
      </c>
      <c r="B591" s="113" t="s">
        <v>17</v>
      </c>
    </row>
    <row r="592" spans="1:2" x14ac:dyDescent="0.3">
      <c r="A592" s="113" t="s">
        <v>35</v>
      </c>
      <c r="B592" s="113" t="s">
        <v>17</v>
      </c>
    </row>
    <row r="593" spans="1:2" x14ac:dyDescent="0.3">
      <c r="A593" s="113" t="s">
        <v>35</v>
      </c>
      <c r="B593" s="113" t="s">
        <v>17</v>
      </c>
    </row>
    <row r="594" spans="1:2" x14ac:dyDescent="0.3">
      <c r="A594" s="113" t="s">
        <v>35</v>
      </c>
      <c r="B594" s="113" t="s">
        <v>17</v>
      </c>
    </row>
    <row r="595" spans="1:2" x14ac:dyDescent="0.3">
      <c r="A595" s="113" t="s">
        <v>35</v>
      </c>
      <c r="B595" s="113" t="s">
        <v>17</v>
      </c>
    </row>
    <row r="596" spans="1:2" x14ac:dyDescent="0.3">
      <c r="A596" s="113" t="s">
        <v>35</v>
      </c>
      <c r="B596" s="113" t="s">
        <v>17</v>
      </c>
    </row>
    <row r="597" spans="1:2" x14ac:dyDescent="0.3">
      <c r="A597" s="113" t="s">
        <v>35</v>
      </c>
      <c r="B597" s="113" t="s">
        <v>17</v>
      </c>
    </row>
    <row r="598" spans="1:2" x14ac:dyDescent="0.3">
      <c r="A598" s="113" t="s">
        <v>35</v>
      </c>
      <c r="B598" s="113" t="s">
        <v>17</v>
      </c>
    </row>
    <row r="599" spans="1:2" x14ac:dyDescent="0.3">
      <c r="A599" s="113" t="s">
        <v>31</v>
      </c>
      <c r="B599" s="113" t="s">
        <v>121</v>
      </c>
    </row>
    <row r="600" spans="1:2" x14ac:dyDescent="0.3">
      <c r="A600" s="113" t="s">
        <v>31</v>
      </c>
      <c r="B600" s="113" t="s">
        <v>121</v>
      </c>
    </row>
    <row r="601" spans="1:2" x14ac:dyDescent="0.3">
      <c r="A601" s="113" t="s">
        <v>31</v>
      </c>
      <c r="B601" s="113" t="s">
        <v>121</v>
      </c>
    </row>
    <row r="602" spans="1:2" x14ac:dyDescent="0.3">
      <c r="A602" s="113" t="s">
        <v>31</v>
      </c>
      <c r="B602" s="113" t="s">
        <v>121</v>
      </c>
    </row>
    <row r="603" spans="1:2" x14ac:dyDescent="0.3">
      <c r="A603" s="113" t="s">
        <v>31</v>
      </c>
      <c r="B603" s="113" t="s">
        <v>121</v>
      </c>
    </row>
    <row r="604" spans="1:2" x14ac:dyDescent="0.3">
      <c r="A604" s="113" t="s">
        <v>31</v>
      </c>
      <c r="B604" s="113" t="s">
        <v>121</v>
      </c>
    </row>
    <row r="605" spans="1:2" x14ac:dyDescent="0.3">
      <c r="A605" s="113" t="s">
        <v>31</v>
      </c>
      <c r="B605" s="113" t="s">
        <v>121</v>
      </c>
    </row>
    <row r="606" spans="1:2" x14ac:dyDescent="0.3">
      <c r="A606" s="113" t="s">
        <v>31</v>
      </c>
      <c r="B606" s="113" t="s">
        <v>121</v>
      </c>
    </row>
    <row r="607" spans="1:2" x14ac:dyDescent="0.3">
      <c r="A607" s="113" t="s">
        <v>31</v>
      </c>
      <c r="B607" s="113" t="s">
        <v>121</v>
      </c>
    </row>
    <row r="608" spans="1:2" x14ac:dyDescent="0.3">
      <c r="A608" s="113" t="s">
        <v>31</v>
      </c>
      <c r="B608" s="113" t="s">
        <v>121</v>
      </c>
    </row>
    <row r="609" spans="1:2" x14ac:dyDescent="0.3">
      <c r="A609" s="113" t="s">
        <v>31</v>
      </c>
      <c r="B609" s="113" t="s">
        <v>121</v>
      </c>
    </row>
    <row r="610" spans="1:2" x14ac:dyDescent="0.3">
      <c r="A610" s="113" t="s">
        <v>31</v>
      </c>
      <c r="B610" s="113" t="s">
        <v>121</v>
      </c>
    </row>
    <row r="611" spans="1:2" x14ac:dyDescent="0.3">
      <c r="A611" s="113" t="s">
        <v>31</v>
      </c>
      <c r="B611" s="113" t="s">
        <v>121</v>
      </c>
    </row>
    <row r="612" spans="1:2" x14ac:dyDescent="0.3">
      <c r="A612" s="113" t="s">
        <v>31</v>
      </c>
      <c r="B612" s="113" t="s">
        <v>121</v>
      </c>
    </row>
    <row r="613" spans="1:2" x14ac:dyDescent="0.3">
      <c r="A613" s="113" t="s">
        <v>31</v>
      </c>
      <c r="B613" s="113" t="s">
        <v>121</v>
      </c>
    </row>
    <row r="614" spans="1:2" x14ac:dyDescent="0.3">
      <c r="A614" s="113" t="s">
        <v>31</v>
      </c>
      <c r="B614" s="113" t="s">
        <v>121</v>
      </c>
    </row>
    <row r="615" spans="1:2" x14ac:dyDescent="0.3">
      <c r="A615" s="113" t="s">
        <v>31</v>
      </c>
      <c r="B615" s="113" t="s">
        <v>121</v>
      </c>
    </row>
    <row r="616" spans="1:2" x14ac:dyDescent="0.3">
      <c r="A616" s="113" t="s">
        <v>31</v>
      </c>
      <c r="B616" s="113" t="s">
        <v>121</v>
      </c>
    </row>
    <row r="617" spans="1:2" x14ac:dyDescent="0.3">
      <c r="A617" s="113" t="s">
        <v>31</v>
      </c>
      <c r="B617" s="113" t="s">
        <v>121</v>
      </c>
    </row>
    <row r="618" spans="1:2" x14ac:dyDescent="0.3">
      <c r="A618" s="113" t="s">
        <v>31</v>
      </c>
      <c r="B618" s="113" t="s">
        <v>121</v>
      </c>
    </row>
    <row r="619" spans="1:2" x14ac:dyDescent="0.3">
      <c r="A619" s="113" t="s">
        <v>31</v>
      </c>
      <c r="B619" s="113" t="s">
        <v>121</v>
      </c>
    </row>
    <row r="620" spans="1:2" x14ac:dyDescent="0.3">
      <c r="A620" s="113" t="s">
        <v>31</v>
      </c>
      <c r="B620" s="113" t="s">
        <v>121</v>
      </c>
    </row>
    <row r="621" spans="1:2" x14ac:dyDescent="0.3">
      <c r="A621" s="113" t="s">
        <v>31</v>
      </c>
      <c r="B621" s="113" t="s">
        <v>121</v>
      </c>
    </row>
    <row r="622" spans="1:2" x14ac:dyDescent="0.3">
      <c r="A622" s="113" t="s">
        <v>31</v>
      </c>
      <c r="B622" s="113" t="s">
        <v>121</v>
      </c>
    </row>
    <row r="623" spans="1:2" x14ac:dyDescent="0.3">
      <c r="A623" s="113" t="s">
        <v>31</v>
      </c>
      <c r="B623" s="113" t="s">
        <v>121</v>
      </c>
    </row>
    <row r="624" spans="1:2" x14ac:dyDescent="0.3">
      <c r="A624" s="113" t="s">
        <v>31</v>
      </c>
      <c r="B624" s="113" t="s">
        <v>121</v>
      </c>
    </row>
    <row r="625" spans="1:2" x14ac:dyDescent="0.3">
      <c r="A625" s="113" t="s">
        <v>31</v>
      </c>
      <c r="B625" s="113" t="s">
        <v>121</v>
      </c>
    </row>
    <row r="626" spans="1:2" x14ac:dyDescent="0.3">
      <c r="A626" s="113" t="s">
        <v>31</v>
      </c>
      <c r="B626" s="113" t="s">
        <v>121</v>
      </c>
    </row>
    <row r="627" spans="1:2" x14ac:dyDescent="0.3">
      <c r="A627" s="113" t="s">
        <v>31</v>
      </c>
      <c r="B627" s="113" t="s">
        <v>121</v>
      </c>
    </row>
    <row r="628" spans="1:2" x14ac:dyDescent="0.3">
      <c r="A628" s="113" t="s">
        <v>31</v>
      </c>
      <c r="B628" s="113" t="s">
        <v>121</v>
      </c>
    </row>
    <row r="629" spans="1:2" x14ac:dyDescent="0.3">
      <c r="A629" s="113" t="s">
        <v>45</v>
      </c>
      <c r="B629" s="113" t="s">
        <v>121</v>
      </c>
    </row>
    <row r="630" spans="1:2" x14ac:dyDescent="0.3">
      <c r="A630" s="113" t="s">
        <v>45</v>
      </c>
      <c r="B630" s="113" t="s">
        <v>121</v>
      </c>
    </row>
    <row r="631" spans="1:2" x14ac:dyDescent="0.3">
      <c r="A631" s="113" t="s">
        <v>45</v>
      </c>
      <c r="B631" s="113" t="s">
        <v>121</v>
      </c>
    </row>
    <row r="632" spans="1:2" x14ac:dyDescent="0.3">
      <c r="A632" s="113" t="s">
        <v>45</v>
      </c>
      <c r="B632" s="113" t="s">
        <v>121</v>
      </c>
    </row>
    <row r="633" spans="1:2" x14ac:dyDescent="0.3">
      <c r="A633" s="113" t="s">
        <v>45</v>
      </c>
      <c r="B633" s="113" t="s">
        <v>121</v>
      </c>
    </row>
    <row r="634" spans="1:2" x14ac:dyDescent="0.3">
      <c r="A634" s="113" t="s">
        <v>45</v>
      </c>
      <c r="B634" s="113" t="s">
        <v>121</v>
      </c>
    </row>
    <row r="635" spans="1:2" x14ac:dyDescent="0.3">
      <c r="A635" s="113" t="s">
        <v>45</v>
      </c>
      <c r="B635" s="113" t="s">
        <v>121</v>
      </c>
    </row>
    <row r="636" spans="1:2" x14ac:dyDescent="0.3">
      <c r="A636" s="113" t="s">
        <v>45</v>
      </c>
      <c r="B636" s="113" t="s">
        <v>121</v>
      </c>
    </row>
    <row r="637" spans="1:2" x14ac:dyDescent="0.3">
      <c r="A637" s="113" t="s">
        <v>49</v>
      </c>
      <c r="B637" s="113" t="s">
        <v>115</v>
      </c>
    </row>
    <row r="638" spans="1:2" x14ac:dyDescent="0.3">
      <c r="A638" s="113" t="s">
        <v>49</v>
      </c>
      <c r="B638" s="113" t="s">
        <v>115</v>
      </c>
    </row>
    <row r="639" spans="1:2" x14ac:dyDescent="0.3">
      <c r="A639" s="113" t="s">
        <v>49</v>
      </c>
      <c r="B639" s="113" t="s">
        <v>115</v>
      </c>
    </row>
    <row r="640" spans="1:2" x14ac:dyDescent="0.3">
      <c r="A640" s="113" t="s">
        <v>43</v>
      </c>
      <c r="B640" s="113" t="s">
        <v>29</v>
      </c>
    </row>
    <row r="641" spans="1:2" x14ac:dyDescent="0.3">
      <c r="A641" s="113" t="s">
        <v>43</v>
      </c>
      <c r="B641" s="113" t="s">
        <v>29</v>
      </c>
    </row>
    <row r="642" spans="1:2" x14ac:dyDescent="0.3">
      <c r="A642" s="113" t="s">
        <v>43</v>
      </c>
      <c r="B642" s="113" t="s">
        <v>29</v>
      </c>
    </row>
    <row r="643" spans="1:2" x14ac:dyDescent="0.3">
      <c r="A643" s="113" t="s">
        <v>43</v>
      </c>
      <c r="B643" s="113" t="s">
        <v>29</v>
      </c>
    </row>
    <row r="644" spans="1:2" x14ac:dyDescent="0.3">
      <c r="A644" s="113" t="s">
        <v>43</v>
      </c>
      <c r="B644" s="113" t="s">
        <v>29</v>
      </c>
    </row>
    <row r="645" spans="1:2" x14ac:dyDescent="0.3">
      <c r="A645" s="113" t="s">
        <v>43</v>
      </c>
      <c r="B645" s="113" t="s">
        <v>29</v>
      </c>
    </row>
    <row r="646" spans="1:2" x14ac:dyDescent="0.3">
      <c r="A646" s="113" t="s">
        <v>43</v>
      </c>
      <c r="B646" s="113" t="s">
        <v>29</v>
      </c>
    </row>
    <row r="647" spans="1:2" x14ac:dyDescent="0.3">
      <c r="A647" s="113" t="s">
        <v>43</v>
      </c>
      <c r="B647" s="113" t="s">
        <v>29</v>
      </c>
    </row>
    <row r="648" spans="1:2" x14ac:dyDescent="0.3">
      <c r="A648" s="113" t="s">
        <v>43</v>
      </c>
      <c r="B648" s="113" t="s">
        <v>29</v>
      </c>
    </row>
    <row r="649" spans="1:2" x14ac:dyDescent="0.3">
      <c r="A649" s="113" t="s">
        <v>43</v>
      </c>
      <c r="B649" s="113" t="s">
        <v>29</v>
      </c>
    </row>
    <row r="650" spans="1:2" x14ac:dyDescent="0.3">
      <c r="A650" s="113" t="s">
        <v>43</v>
      </c>
      <c r="B650" s="113" t="s">
        <v>29</v>
      </c>
    </row>
    <row r="651" spans="1:2" x14ac:dyDescent="0.3">
      <c r="A651" s="113" t="s">
        <v>43</v>
      </c>
      <c r="B651" s="113" t="s">
        <v>29</v>
      </c>
    </row>
    <row r="652" spans="1:2" x14ac:dyDescent="0.3">
      <c r="A652" s="113" t="s">
        <v>43</v>
      </c>
      <c r="B652" s="113" t="s">
        <v>29</v>
      </c>
    </row>
    <row r="653" spans="1:2" x14ac:dyDescent="0.3">
      <c r="A653" s="113" t="s">
        <v>43</v>
      </c>
      <c r="B653" s="113" t="s">
        <v>29</v>
      </c>
    </row>
    <row r="654" spans="1:2" x14ac:dyDescent="0.3">
      <c r="A654" s="113" t="s">
        <v>43</v>
      </c>
      <c r="B654" s="113" t="s">
        <v>29</v>
      </c>
    </row>
    <row r="655" spans="1:2" x14ac:dyDescent="0.3">
      <c r="A655" s="113" t="s">
        <v>48</v>
      </c>
      <c r="B655" s="113" t="s">
        <v>17</v>
      </c>
    </row>
    <row r="656" spans="1:2" x14ac:dyDescent="0.3">
      <c r="A656" s="113" t="s">
        <v>48</v>
      </c>
      <c r="B656" s="113" t="s">
        <v>17</v>
      </c>
    </row>
    <row r="657" spans="1:2" x14ac:dyDescent="0.3">
      <c r="A657" s="113" t="s">
        <v>48</v>
      </c>
      <c r="B657" s="113" t="s">
        <v>17</v>
      </c>
    </row>
    <row r="658" spans="1:2" x14ac:dyDescent="0.3">
      <c r="A658" s="113" t="s">
        <v>48</v>
      </c>
      <c r="B658" s="113" t="s">
        <v>17</v>
      </c>
    </row>
    <row r="659" spans="1:2" x14ac:dyDescent="0.3">
      <c r="A659" s="113" t="s">
        <v>48</v>
      </c>
      <c r="B659" s="113" t="s">
        <v>17</v>
      </c>
    </row>
    <row r="660" spans="1:2" x14ac:dyDescent="0.3">
      <c r="A660" s="113" t="s">
        <v>48</v>
      </c>
      <c r="B660" s="113" t="s">
        <v>17</v>
      </c>
    </row>
    <row r="661" spans="1:2" x14ac:dyDescent="0.3">
      <c r="A661" s="113" t="s">
        <v>48</v>
      </c>
      <c r="B661" s="113" t="s">
        <v>17</v>
      </c>
    </row>
    <row r="662" spans="1:2" x14ac:dyDescent="0.3">
      <c r="A662" s="113" t="s">
        <v>48</v>
      </c>
      <c r="B662" s="113" t="s">
        <v>17</v>
      </c>
    </row>
    <row r="663" spans="1:2" x14ac:dyDescent="0.3">
      <c r="A663" s="113" t="s">
        <v>48</v>
      </c>
      <c r="B663" s="113" t="s">
        <v>17</v>
      </c>
    </row>
    <row r="664" spans="1:2" x14ac:dyDescent="0.3">
      <c r="A664" s="113" t="s">
        <v>41</v>
      </c>
      <c r="B664" s="113" t="s">
        <v>17</v>
      </c>
    </row>
    <row r="665" spans="1:2" x14ac:dyDescent="0.3">
      <c r="A665" s="113" t="s">
        <v>41</v>
      </c>
      <c r="B665" s="113" t="s">
        <v>17</v>
      </c>
    </row>
    <row r="666" spans="1:2" x14ac:dyDescent="0.3">
      <c r="A666" s="113" t="s">
        <v>41</v>
      </c>
      <c r="B666" s="113" t="s">
        <v>17</v>
      </c>
    </row>
    <row r="667" spans="1:2" x14ac:dyDescent="0.3">
      <c r="A667" s="113" t="s">
        <v>41</v>
      </c>
      <c r="B667" s="113" t="s">
        <v>17</v>
      </c>
    </row>
    <row r="668" spans="1:2" x14ac:dyDescent="0.3">
      <c r="A668" s="113" t="s">
        <v>41</v>
      </c>
      <c r="B668" s="113" t="s">
        <v>17</v>
      </c>
    </row>
    <row r="669" spans="1:2" x14ac:dyDescent="0.3">
      <c r="A669" s="113" t="s">
        <v>41</v>
      </c>
      <c r="B669" s="113" t="s">
        <v>17</v>
      </c>
    </row>
    <row r="670" spans="1:2" x14ac:dyDescent="0.3">
      <c r="A670" s="113" t="s">
        <v>41</v>
      </c>
      <c r="B670" s="113" t="s">
        <v>17</v>
      </c>
    </row>
    <row r="671" spans="1:2" x14ac:dyDescent="0.3">
      <c r="A671" s="113" t="s">
        <v>41</v>
      </c>
      <c r="B671" s="113" t="s">
        <v>17</v>
      </c>
    </row>
    <row r="672" spans="1:2" x14ac:dyDescent="0.3">
      <c r="A672" s="113" t="s">
        <v>41</v>
      </c>
      <c r="B672" s="113" t="s">
        <v>17</v>
      </c>
    </row>
    <row r="673" spans="1:2" x14ac:dyDescent="0.3">
      <c r="A673" s="113" t="s">
        <v>41</v>
      </c>
      <c r="B673" s="113" t="s">
        <v>17</v>
      </c>
    </row>
    <row r="674" spans="1:2" x14ac:dyDescent="0.3">
      <c r="A674" s="113" t="s">
        <v>56</v>
      </c>
      <c r="B674" s="113" t="s">
        <v>17</v>
      </c>
    </row>
    <row r="675" spans="1:2" x14ac:dyDescent="0.3">
      <c r="A675" s="113" t="s">
        <v>56</v>
      </c>
      <c r="B675" s="113" t="s">
        <v>17</v>
      </c>
    </row>
    <row r="676" spans="1:2" x14ac:dyDescent="0.3">
      <c r="A676" s="113" t="s">
        <v>56</v>
      </c>
      <c r="B676" s="113" t="s">
        <v>17</v>
      </c>
    </row>
    <row r="677" spans="1:2" x14ac:dyDescent="0.3">
      <c r="A677" s="113" t="s">
        <v>56</v>
      </c>
      <c r="B677" s="113" t="s">
        <v>17</v>
      </c>
    </row>
    <row r="678" spans="1:2" x14ac:dyDescent="0.3">
      <c r="A678" s="113" t="s">
        <v>56</v>
      </c>
      <c r="B678" s="113" t="s">
        <v>17</v>
      </c>
    </row>
    <row r="679" spans="1:2" x14ac:dyDescent="0.3">
      <c r="A679" s="113" t="s">
        <v>47</v>
      </c>
      <c r="B679" s="113" t="s">
        <v>17</v>
      </c>
    </row>
    <row r="680" spans="1:2" x14ac:dyDescent="0.3">
      <c r="A680" s="113" t="s">
        <v>47</v>
      </c>
      <c r="B680" s="113" t="s">
        <v>17</v>
      </c>
    </row>
    <row r="681" spans="1:2" x14ac:dyDescent="0.3">
      <c r="A681" s="113" t="s">
        <v>53</v>
      </c>
      <c r="B681" s="113" t="s">
        <v>17</v>
      </c>
    </row>
    <row r="682" spans="1:2" x14ac:dyDescent="0.3">
      <c r="A682" s="113" t="s">
        <v>99</v>
      </c>
      <c r="B682" s="113" t="s">
        <v>121</v>
      </c>
    </row>
    <row r="683" spans="1:2" x14ac:dyDescent="0.3">
      <c r="A683" s="113" t="s">
        <v>50</v>
      </c>
      <c r="B683" s="113" t="s">
        <v>25</v>
      </c>
    </row>
    <row r="684" spans="1:2" x14ac:dyDescent="0.3">
      <c r="A684" s="113" t="s">
        <v>50</v>
      </c>
      <c r="B684" s="113" t="s">
        <v>25</v>
      </c>
    </row>
    <row r="685" spans="1:2" x14ac:dyDescent="0.3">
      <c r="A685" s="113" t="s">
        <v>50</v>
      </c>
      <c r="B685" s="113" t="s">
        <v>25</v>
      </c>
    </row>
    <row r="686" spans="1:2" x14ac:dyDescent="0.3">
      <c r="A686" s="113" t="s">
        <v>50</v>
      </c>
      <c r="B686" s="113" t="s">
        <v>25</v>
      </c>
    </row>
    <row r="687" spans="1:2" x14ac:dyDescent="0.3">
      <c r="A687" s="113" t="s">
        <v>50</v>
      </c>
      <c r="B687" s="113" t="s">
        <v>25</v>
      </c>
    </row>
    <row r="688" spans="1:2" x14ac:dyDescent="0.3">
      <c r="A688" s="113" t="s">
        <v>50</v>
      </c>
      <c r="B688" s="113" t="s">
        <v>25</v>
      </c>
    </row>
    <row r="689" spans="1:2" x14ac:dyDescent="0.3">
      <c r="A689" s="113" t="s">
        <v>50</v>
      </c>
      <c r="B689" s="113" t="s">
        <v>25</v>
      </c>
    </row>
    <row r="690" spans="1:2" x14ac:dyDescent="0.3">
      <c r="A690" s="113" t="s">
        <v>50</v>
      </c>
      <c r="B690" s="113" t="s">
        <v>25</v>
      </c>
    </row>
    <row r="691" spans="1:2" x14ac:dyDescent="0.3">
      <c r="A691" s="113" t="s">
        <v>50</v>
      </c>
      <c r="B691" s="113" t="s">
        <v>25</v>
      </c>
    </row>
    <row r="692" spans="1:2" x14ac:dyDescent="0.3">
      <c r="A692" s="113" t="s">
        <v>50</v>
      </c>
      <c r="B692" s="113" t="s">
        <v>25</v>
      </c>
    </row>
    <row r="693" spans="1:2" x14ac:dyDescent="0.3">
      <c r="A693" s="113" t="s">
        <v>50</v>
      </c>
      <c r="B693" s="113" t="s">
        <v>25</v>
      </c>
    </row>
    <row r="694" spans="1:2" x14ac:dyDescent="0.3">
      <c r="A694" s="113" t="s">
        <v>50</v>
      </c>
      <c r="B694" s="113" t="s">
        <v>25</v>
      </c>
    </row>
    <row r="695" spans="1:2" x14ac:dyDescent="0.3">
      <c r="A695" s="113" t="s">
        <v>50</v>
      </c>
      <c r="B695" s="113" t="s">
        <v>25</v>
      </c>
    </row>
    <row r="696" spans="1:2" x14ac:dyDescent="0.3">
      <c r="A696" s="113" t="s">
        <v>50</v>
      </c>
      <c r="B696" s="113" t="s">
        <v>25</v>
      </c>
    </row>
    <row r="697" spans="1:2" x14ac:dyDescent="0.3">
      <c r="A697" s="113" t="s">
        <v>50</v>
      </c>
      <c r="B697" s="113" t="s">
        <v>25</v>
      </c>
    </row>
    <row r="698" spans="1:2" x14ac:dyDescent="0.3">
      <c r="A698" s="113" t="s">
        <v>50</v>
      </c>
      <c r="B698" s="113" t="s">
        <v>25</v>
      </c>
    </row>
    <row r="699" spans="1:2" x14ac:dyDescent="0.3">
      <c r="A699" s="113" t="s">
        <v>50</v>
      </c>
      <c r="B699" s="113" t="s">
        <v>25</v>
      </c>
    </row>
    <row r="700" spans="1:2" x14ac:dyDescent="0.3">
      <c r="A700" s="113" t="s">
        <v>50</v>
      </c>
      <c r="B700" s="113" t="s">
        <v>25</v>
      </c>
    </row>
    <row r="701" spans="1:2" x14ac:dyDescent="0.3">
      <c r="A701" s="113" t="s">
        <v>50</v>
      </c>
      <c r="B701" s="113" t="s">
        <v>25</v>
      </c>
    </row>
    <row r="702" spans="1:2" x14ac:dyDescent="0.3">
      <c r="A702" s="113" t="s">
        <v>50</v>
      </c>
      <c r="B702" s="113" t="s">
        <v>25</v>
      </c>
    </row>
    <row r="703" spans="1:2" x14ac:dyDescent="0.3">
      <c r="A703" s="113" t="s">
        <v>50</v>
      </c>
      <c r="B703" s="113" t="s">
        <v>25</v>
      </c>
    </row>
    <row r="704" spans="1:2" x14ac:dyDescent="0.3">
      <c r="A704" s="113" t="s">
        <v>50</v>
      </c>
      <c r="B704" s="113" t="s">
        <v>25</v>
      </c>
    </row>
    <row r="705" spans="1:2" x14ac:dyDescent="0.3">
      <c r="A705" s="113" t="s">
        <v>50</v>
      </c>
      <c r="B705" s="113" t="s">
        <v>25</v>
      </c>
    </row>
    <row r="706" spans="1:2" x14ac:dyDescent="0.3">
      <c r="A706" s="113" t="s">
        <v>50</v>
      </c>
      <c r="B706" s="113" t="s">
        <v>25</v>
      </c>
    </row>
    <row r="707" spans="1:2" x14ac:dyDescent="0.3">
      <c r="A707" s="113" t="s">
        <v>50</v>
      </c>
      <c r="B707" s="113" t="s">
        <v>25</v>
      </c>
    </row>
    <row r="708" spans="1:2" x14ac:dyDescent="0.3">
      <c r="A708" s="113" t="s">
        <v>50</v>
      </c>
      <c r="B708" s="113" t="s">
        <v>25</v>
      </c>
    </row>
    <row r="709" spans="1:2" x14ac:dyDescent="0.3">
      <c r="A709" s="113" t="s">
        <v>50</v>
      </c>
      <c r="B709" s="113" t="s">
        <v>25</v>
      </c>
    </row>
    <row r="710" spans="1:2" x14ac:dyDescent="0.3">
      <c r="A710" s="113" t="s">
        <v>50</v>
      </c>
      <c r="B710" s="113" t="s">
        <v>25</v>
      </c>
    </row>
    <row r="711" spans="1:2" x14ac:dyDescent="0.3">
      <c r="A711" s="113" t="s">
        <v>50</v>
      </c>
      <c r="B711" s="113" t="s">
        <v>25</v>
      </c>
    </row>
    <row r="712" spans="1:2" x14ac:dyDescent="0.3">
      <c r="A712" s="113" t="s">
        <v>50</v>
      </c>
      <c r="B712" s="113" t="s">
        <v>25</v>
      </c>
    </row>
    <row r="713" spans="1:2" x14ac:dyDescent="0.3">
      <c r="A713" s="113" t="s">
        <v>50</v>
      </c>
      <c r="B713" s="113" t="s">
        <v>25</v>
      </c>
    </row>
    <row r="714" spans="1:2" x14ac:dyDescent="0.3">
      <c r="A714" s="113" t="s">
        <v>50</v>
      </c>
      <c r="B714" s="113" t="s">
        <v>25</v>
      </c>
    </row>
    <row r="715" spans="1:2" x14ac:dyDescent="0.3">
      <c r="A715" s="113" t="s">
        <v>50</v>
      </c>
      <c r="B715" s="113" t="s">
        <v>25</v>
      </c>
    </row>
    <row r="716" spans="1:2" x14ac:dyDescent="0.3">
      <c r="A716" s="113" t="s">
        <v>50</v>
      </c>
      <c r="B716" s="113" t="s">
        <v>25</v>
      </c>
    </row>
    <row r="717" spans="1:2" x14ac:dyDescent="0.3">
      <c r="A717" s="113" t="s">
        <v>50</v>
      </c>
      <c r="B717" s="113" t="s">
        <v>25</v>
      </c>
    </row>
    <row r="718" spans="1:2" x14ac:dyDescent="0.3">
      <c r="A718" s="113" t="s">
        <v>50</v>
      </c>
      <c r="B718" s="113" t="s">
        <v>25</v>
      </c>
    </row>
    <row r="719" spans="1:2" x14ac:dyDescent="0.3">
      <c r="A719" s="113" t="s">
        <v>52</v>
      </c>
      <c r="B719" s="113" t="s">
        <v>115</v>
      </c>
    </row>
    <row r="720" spans="1:2" x14ac:dyDescent="0.3">
      <c r="A720" s="113" t="s">
        <v>52</v>
      </c>
      <c r="B720" s="113" t="s">
        <v>115</v>
      </c>
    </row>
    <row r="721" spans="1:2" x14ac:dyDescent="0.3">
      <c r="A721" s="113" t="s">
        <v>52</v>
      </c>
      <c r="B721" s="113" t="s">
        <v>115</v>
      </c>
    </row>
    <row r="722" spans="1:2" x14ac:dyDescent="0.3">
      <c r="A722" s="113" t="s">
        <v>52</v>
      </c>
      <c r="B722" s="113" t="s">
        <v>115</v>
      </c>
    </row>
    <row r="723" spans="1:2" x14ac:dyDescent="0.3">
      <c r="A723" s="113" t="s">
        <v>52</v>
      </c>
      <c r="B723" s="113" t="s">
        <v>115</v>
      </c>
    </row>
    <row r="724" spans="1:2" x14ac:dyDescent="0.3">
      <c r="A724" s="113" t="s">
        <v>52</v>
      </c>
      <c r="B724" s="113" t="s">
        <v>115</v>
      </c>
    </row>
    <row r="725" spans="1:2" x14ac:dyDescent="0.3">
      <c r="A725" s="113" t="s">
        <v>52</v>
      </c>
      <c r="B725" s="113" t="s">
        <v>115</v>
      </c>
    </row>
    <row r="726" spans="1:2" x14ac:dyDescent="0.3">
      <c r="A726" s="113" t="s">
        <v>52</v>
      </c>
      <c r="B726" s="113" t="s">
        <v>115</v>
      </c>
    </row>
    <row r="727" spans="1:2" x14ac:dyDescent="0.3">
      <c r="A727" s="113" t="s">
        <v>52</v>
      </c>
      <c r="B727" s="113" t="s">
        <v>115</v>
      </c>
    </row>
    <row r="728" spans="1:2" x14ac:dyDescent="0.3">
      <c r="A728" s="113" t="s">
        <v>52</v>
      </c>
      <c r="B728" s="113" t="s">
        <v>115</v>
      </c>
    </row>
    <row r="729" spans="1:2" x14ac:dyDescent="0.3">
      <c r="A729" s="113" t="s">
        <v>52</v>
      </c>
      <c r="B729" s="113" t="s">
        <v>115</v>
      </c>
    </row>
    <row r="730" spans="1:2" x14ac:dyDescent="0.3">
      <c r="A730" s="113" t="s">
        <v>52</v>
      </c>
      <c r="B730" s="113" t="s">
        <v>115</v>
      </c>
    </row>
    <row r="731" spans="1:2" x14ac:dyDescent="0.3">
      <c r="A731" s="113" t="s">
        <v>52</v>
      </c>
      <c r="B731" s="113" t="s">
        <v>115</v>
      </c>
    </row>
    <row r="732" spans="1:2" x14ac:dyDescent="0.3">
      <c r="A732" s="113" t="s">
        <v>52</v>
      </c>
      <c r="B732" s="113" t="s">
        <v>115</v>
      </c>
    </row>
    <row r="733" spans="1:2" x14ac:dyDescent="0.3">
      <c r="A733" s="113" t="s">
        <v>52</v>
      </c>
      <c r="B733" s="113" t="s">
        <v>115</v>
      </c>
    </row>
    <row r="734" spans="1:2" x14ac:dyDescent="0.3">
      <c r="A734" s="113" t="s">
        <v>52</v>
      </c>
      <c r="B734" s="113" t="s">
        <v>115</v>
      </c>
    </row>
    <row r="735" spans="1:2" x14ac:dyDescent="0.3">
      <c r="A735" s="113" t="s">
        <v>52</v>
      </c>
      <c r="B735" s="113" t="s">
        <v>115</v>
      </c>
    </row>
    <row r="736" spans="1:2" x14ac:dyDescent="0.3">
      <c r="A736" s="113" t="s">
        <v>52</v>
      </c>
      <c r="B736" s="113" t="s">
        <v>115</v>
      </c>
    </row>
    <row r="737" spans="1:2" x14ac:dyDescent="0.3">
      <c r="A737" s="113" t="s">
        <v>52</v>
      </c>
      <c r="B737" s="113" t="s">
        <v>115</v>
      </c>
    </row>
    <row r="738" spans="1:2" x14ac:dyDescent="0.3">
      <c r="A738" s="113" t="s">
        <v>52</v>
      </c>
      <c r="B738" s="113" t="s">
        <v>115</v>
      </c>
    </row>
    <row r="739" spans="1:2" x14ac:dyDescent="0.3">
      <c r="A739" s="113" t="s">
        <v>52</v>
      </c>
      <c r="B739" s="113" t="s">
        <v>115</v>
      </c>
    </row>
    <row r="740" spans="1:2" x14ac:dyDescent="0.3">
      <c r="A740" s="113" t="s">
        <v>54</v>
      </c>
      <c r="B740" s="113" t="s">
        <v>115</v>
      </c>
    </row>
    <row r="741" spans="1:2" x14ac:dyDescent="0.3">
      <c r="A741" s="113" t="s">
        <v>54</v>
      </c>
      <c r="B741" s="113" t="s">
        <v>115</v>
      </c>
    </row>
    <row r="742" spans="1:2" x14ac:dyDescent="0.3">
      <c r="A742" s="113" t="s">
        <v>54</v>
      </c>
      <c r="B742" s="113" t="s">
        <v>115</v>
      </c>
    </row>
    <row r="743" spans="1:2" x14ac:dyDescent="0.3">
      <c r="A743" s="113" t="s">
        <v>54</v>
      </c>
      <c r="B743" s="113" t="s">
        <v>115</v>
      </c>
    </row>
    <row r="744" spans="1:2" x14ac:dyDescent="0.3">
      <c r="A744" s="113" t="s">
        <v>54</v>
      </c>
      <c r="B744" s="113" t="s">
        <v>115</v>
      </c>
    </row>
    <row r="745" spans="1:2" x14ac:dyDescent="0.3">
      <c r="A745" s="113" t="s">
        <v>54</v>
      </c>
      <c r="B745" s="113" t="s">
        <v>115</v>
      </c>
    </row>
    <row r="746" spans="1:2" x14ac:dyDescent="0.3">
      <c r="A746" s="113" t="s">
        <v>54</v>
      </c>
      <c r="B746" s="113" t="s">
        <v>115</v>
      </c>
    </row>
    <row r="747" spans="1:2" x14ac:dyDescent="0.3">
      <c r="A747" s="113" t="s">
        <v>54</v>
      </c>
      <c r="B747" s="113" t="s">
        <v>115</v>
      </c>
    </row>
    <row r="748" spans="1:2" x14ac:dyDescent="0.3">
      <c r="A748" s="113" t="s">
        <v>54</v>
      </c>
      <c r="B748" s="113" t="s">
        <v>115</v>
      </c>
    </row>
    <row r="749" spans="1:2" x14ac:dyDescent="0.3">
      <c r="A749" s="113" t="s">
        <v>54</v>
      </c>
      <c r="B749" s="113" t="s">
        <v>115</v>
      </c>
    </row>
    <row r="750" spans="1:2" x14ac:dyDescent="0.3">
      <c r="A750" s="113" t="s">
        <v>55</v>
      </c>
      <c r="B750" s="113" t="s">
        <v>115</v>
      </c>
    </row>
    <row r="751" spans="1:2" x14ac:dyDescent="0.3">
      <c r="A751" s="113" t="s">
        <v>55</v>
      </c>
      <c r="B751" s="113" t="s">
        <v>115</v>
      </c>
    </row>
    <row r="752" spans="1:2" x14ac:dyDescent="0.3">
      <c r="A752" s="113" t="s">
        <v>55</v>
      </c>
      <c r="B752" s="113" t="s">
        <v>115</v>
      </c>
    </row>
    <row r="753" spans="1:2" x14ac:dyDescent="0.3">
      <c r="A753" s="113" t="s">
        <v>55</v>
      </c>
      <c r="B753" s="113" t="s">
        <v>115</v>
      </c>
    </row>
    <row r="754" spans="1:2" x14ac:dyDescent="0.3">
      <c r="A754" s="113" t="s">
        <v>55</v>
      </c>
      <c r="B754" s="113" t="s">
        <v>115</v>
      </c>
    </row>
    <row r="755" spans="1:2" x14ac:dyDescent="0.3">
      <c r="A755" s="113" t="s">
        <v>55</v>
      </c>
      <c r="B755" s="113" t="s">
        <v>115</v>
      </c>
    </row>
    <row r="756" spans="1:2" x14ac:dyDescent="0.3">
      <c r="A756" s="113" t="s">
        <v>55</v>
      </c>
      <c r="B756" s="113" t="s">
        <v>115</v>
      </c>
    </row>
    <row r="757" spans="1:2" x14ac:dyDescent="0.3">
      <c r="A757" s="113" t="s">
        <v>55</v>
      </c>
      <c r="B757" s="113" t="s">
        <v>115</v>
      </c>
    </row>
    <row r="758" spans="1:2" x14ac:dyDescent="0.3">
      <c r="A758" s="113" t="s">
        <v>55</v>
      </c>
      <c r="B758" s="113" t="s">
        <v>115</v>
      </c>
    </row>
    <row r="759" spans="1:2" x14ac:dyDescent="0.3">
      <c r="A759" s="113" t="s">
        <v>55</v>
      </c>
      <c r="B759" s="113" t="s">
        <v>115</v>
      </c>
    </row>
    <row r="760" spans="1:2" x14ac:dyDescent="0.3">
      <c r="A760" s="113" t="s">
        <v>55</v>
      </c>
      <c r="B760" s="113" t="s">
        <v>115</v>
      </c>
    </row>
    <row r="761" spans="1:2" x14ac:dyDescent="0.3">
      <c r="A761" s="113" t="s">
        <v>51</v>
      </c>
      <c r="B761" s="113" t="s">
        <v>115</v>
      </c>
    </row>
    <row r="762" spans="1:2" x14ac:dyDescent="0.3">
      <c r="A762" s="113" t="s">
        <v>51</v>
      </c>
      <c r="B762" s="113" t="s">
        <v>115</v>
      </c>
    </row>
    <row r="763" spans="1:2" x14ac:dyDescent="0.3">
      <c r="A763" s="113" t="s">
        <v>51</v>
      </c>
      <c r="B763" s="113" t="s">
        <v>115</v>
      </c>
    </row>
    <row r="764" spans="1:2" x14ac:dyDescent="0.3">
      <c r="A764" s="113" t="s">
        <v>51</v>
      </c>
      <c r="B764" s="113" t="s">
        <v>115</v>
      </c>
    </row>
    <row r="765" spans="1:2" x14ac:dyDescent="0.3">
      <c r="A765" s="113" t="s">
        <v>51</v>
      </c>
      <c r="B765" s="113" t="s">
        <v>115</v>
      </c>
    </row>
    <row r="766" spans="1:2" x14ac:dyDescent="0.3">
      <c r="A766" s="113" t="s">
        <v>51</v>
      </c>
      <c r="B766" s="113" t="s">
        <v>115</v>
      </c>
    </row>
    <row r="767" spans="1:2" x14ac:dyDescent="0.3">
      <c r="A767" s="113" t="s">
        <v>51</v>
      </c>
      <c r="B767" s="113" t="s">
        <v>115</v>
      </c>
    </row>
    <row r="768" spans="1:2" x14ac:dyDescent="0.3">
      <c r="A768" s="113" t="s">
        <v>51</v>
      </c>
      <c r="B768" s="113" t="s">
        <v>115</v>
      </c>
    </row>
    <row r="769" spans="1:2" x14ac:dyDescent="0.3">
      <c r="A769" s="113" t="s">
        <v>51</v>
      </c>
      <c r="B769" s="113" t="s">
        <v>115</v>
      </c>
    </row>
    <row r="770" spans="1:2" x14ac:dyDescent="0.3">
      <c r="A770" s="113" t="s">
        <v>51</v>
      </c>
      <c r="B770" s="113" t="s">
        <v>115</v>
      </c>
    </row>
    <row r="771" spans="1:2" x14ac:dyDescent="0.3">
      <c r="A771" s="113" t="s">
        <v>51</v>
      </c>
      <c r="B771" s="113" t="s">
        <v>115</v>
      </c>
    </row>
    <row r="772" spans="1:2" x14ac:dyDescent="0.3">
      <c r="A772" s="113" t="s">
        <v>51</v>
      </c>
      <c r="B772" s="113" t="s">
        <v>115</v>
      </c>
    </row>
    <row r="773" spans="1:2" x14ac:dyDescent="0.3">
      <c r="A773" s="113" t="s">
        <v>51</v>
      </c>
      <c r="B773" s="113" t="s">
        <v>115</v>
      </c>
    </row>
    <row r="774" spans="1:2" x14ac:dyDescent="0.3">
      <c r="A774" s="113" t="s">
        <v>57</v>
      </c>
      <c r="B774" s="113" t="s">
        <v>17</v>
      </c>
    </row>
    <row r="775" spans="1:2" x14ac:dyDescent="0.3">
      <c r="A775" s="113" t="s">
        <v>57</v>
      </c>
      <c r="B775" s="113" t="s">
        <v>17</v>
      </c>
    </row>
    <row r="776" spans="1:2" x14ac:dyDescent="0.3">
      <c r="A776" s="113" t="s">
        <v>57</v>
      </c>
      <c r="B776" s="113" t="s">
        <v>17</v>
      </c>
    </row>
    <row r="777" spans="1:2" x14ac:dyDescent="0.3">
      <c r="A777" s="113" t="s">
        <v>57</v>
      </c>
      <c r="B777" s="113" t="s">
        <v>17</v>
      </c>
    </row>
    <row r="778" spans="1:2" x14ac:dyDescent="0.3">
      <c r="A778" s="113" t="s">
        <v>57</v>
      </c>
      <c r="B778" s="113" t="s">
        <v>17</v>
      </c>
    </row>
    <row r="779" spans="1:2" x14ac:dyDescent="0.3">
      <c r="A779" s="113" t="s">
        <v>57</v>
      </c>
      <c r="B779" s="113" t="s">
        <v>17</v>
      </c>
    </row>
    <row r="780" spans="1:2" x14ac:dyDescent="0.3">
      <c r="A780" s="113" t="s">
        <v>57</v>
      </c>
      <c r="B780" s="113" t="s">
        <v>17</v>
      </c>
    </row>
    <row r="781" spans="1:2" x14ac:dyDescent="0.3">
      <c r="A781" s="113" t="s">
        <v>57</v>
      </c>
      <c r="B781" s="113" t="s">
        <v>17</v>
      </c>
    </row>
    <row r="782" spans="1:2" x14ac:dyDescent="0.3">
      <c r="A782" s="113" t="s">
        <v>57</v>
      </c>
      <c r="B782" s="113" t="s">
        <v>17</v>
      </c>
    </row>
    <row r="783" spans="1:2" x14ac:dyDescent="0.3">
      <c r="A783" s="113" t="s">
        <v>57</v>
      </c>
      <c r="B783" s="113" t="s">
        <v>17</v>
      </c>
    </row>
    <row r="784" spans="1:2" x14ac:dyDescent="0.3">
      <c r="A784" s="113" t="s">
        <v>57</v>
      </c>
      <c r="B784" s="113" t="s">
        <v>17</v>
      </c>
    </row>
    <row r="785" spans="1:2" x14ac:dyDescent="0.3">
      <c r="A785" s="113" t="s">
        <v>57</v>
      </c>
      <c r="B785" s="113" t="s">
        <v>17</v>
      </c>
    </row>
    <row r="786" spans="1:2" x14ac:dyDescent="0.3">
      <c r="A786" s="113" t="s">
        <v>57</v>
      </c>
      <c r="B786" s="113" t="s">
        <v>17</v>
      </c>
    </row>
    <row r="787" spans="1:2" x14ac:dyDescent="0.3">
      <c r="A787" s="113" t="s">
        <v>57</v>
      </c>
      <c r="B787" s="113" t="s">
        <v>17</v>
      </c>
    </row>
    <row r="788" spans="1:2" x14ac:dyDescent="0.3">
      <c r="A788" s="113" t="s">
        <v>57</v>
      </c>
      <c r="B788" s="113" t="s">
        <v>17</v>
      </c>
    </row>
    <row r="789" spans="1:2" x14ac:dyDescent="0.3">
      <c r="A789" s="113" t="s">
        <v>57</v>
      </c>
      <c r="B789" s="113" t="s">
        <v>17</v>
      </c>
    </row>
    <row r="790" spans="1:2" x14ac:dyDescent="0.3">
      <c r="A790" s="113" t="s">
        <v>57</v>
      </c>
      <c r="B790" s="113" t="s">
        <v>17</v>
      </c>
    </row>
    <row r="791" spans="1:2" x14ac:dyDescent="0.3">
      <c r="A791" s="113" t="s">
        <v>57</v>
      </c>
      <c r="B791" s="113" t="s">
        <v>17</v>
      </c>
    </row>
    <row r="792" spans="1:2" x14ac:dyDescent="0.3">
      <c r="A792" s="113" t="s">
        <v>57</v>
      </c>
      <c r="B792" s="113" t="s">
        <v>17</v>
      </c>
    </row>
    <row r="793" spans="1:2" x14ac:dyDescent="0.3">
      <c r="A793" s="113" t="s">
        <v>58</v>
      </c>
      <c r="B793" s="113" t="s">
        <v>17</v>
      </c>
    </row>
    <row r="794" spans="1:2" x14ac:dyDescent="0.3">
      <c r="A794" s="113" t="s">
        <v>58</v>
      </c>
      <c r="B794" s="113" t="s">
        <v>17</v>
      </c>
    </row>
    <row r="795" spans="1:2" x14ac:dyDescent="0.3">
      <c r="A795" s="113" t="s">
        <v>58</v>
      </c>
      <c r="B795" s="113" t="s">
        <v>17</v>
      </c>
    </row>
    <row r="796" spans="1:2" x14ac:dyDescent="0.3">
      <c r="A796" s="113" t="s">
        <v>58</v>
      </c>
      <c r="B796" s="113" t="s">
        <v>17</v>
      </c>
    </row>
    <row r="797" spans="1:2" x14ac:dyDescent="0.3">
      <c r="A797" s="113" t="s">
        <v>58</v>
      </c>
      <c r="B797" s="113" t="s">
        <v>17</v>
      </c>
    </row>
    <row r="798" spans="1:2" x14ac:dyDescent="0.3">
      <c r="A798" s="113" t="s">
        <v>59</v>
      </c>
      <c r="B798" s="113" t="s">
        <v>17</v>
      </c>
    </row>
    <row r="799" spans="1:2" x14ac:dyDescent="0.3">
      <c r="A799" s="113" t="s">
        <v>59</v>
      </c>
      <c r="B799" s="113" t="s">
        <v>17</v>
      </c>
    </row>
    <row r="800" spans="1:2" x14ac:dyDescent="0.3">
      <c r="A800" s="113" t="s">
        <v>59</v>
      </c>
      <c r="B800" s="113" t="s">
        <v>17</v>
      </c>
    </row>
    <row r="801" spans="1:2" x14ac:dyDescent="0.3">
      <c r="A801" s="113" t="s">
        <v>60</v>
      </c>
      <c r="B801" s="113" t="s">
        <v>17</v>
      </c>
    </row>
    <row r="802" spans="1:2" x14ac:dyDescent="0.3">
      <c r="A802" s="113" t="s">
        <v>60</v>
      </c>
      <c r="B802" s="113" t="s">
        <v>17</v>
      </c>
    </row>
    <row r="803" spans="1:2" x14ac:dyDescent="0.3">
      <c r="A803" s="113" t="s">
        <v>60</v>
      </c>
      <c r="B803" s="113" t="s">
        <v>17</v>
      </c>
    </row>
    <row r="804" spans="1:2" x14ac:dyDescent="0.3">
      <c r="A804" s="113" t="s">
        <v>60</v>
      </c>
      <c r="B804" s="113" t="s">
        <v>17</v>
      </c>
    </row>
    <row r="805" spans="1:2" x14ac:dyDescent="0.3">
      <c r="A805" s="113" t="s">
        <v>60</v>
      </c>
      <c r="B805" s="113" t="s">
        <v>17</v>
      </c>
    </row>
    <row r="806" spans="1:2" x14ac:dyDescent="0.3">
      <c r="A806" s="113" t="s">
        <v>60</v>
      </c>
      <c r="B806" s="113" t="s">
        <v>17</v>
      </c>
    </row>
    <row r="807" spans="1:2" x14ac:dyDescent="0.3">
      <c r="A807" s="113" t="s">
        <v>60</v>
      </c>
      <c r="B807" s="113" t="s">
        <v>17</v>
      </c>
    </row>
    <row r="808" spans="1:2" x14ac:dyDescent="0.3">
      <c r="A808" s="113" t="s">
        <v>36</v>
      </c>
      <c r="B808" s="113" t="s">
        <v>17</v>
      </c>
    </row>
    <row r="809" spans="1:2" x14ac:dyDescent="0.3">
      <c r="A809" s="113" t="s">
        <v>36</v>
      </c>
      <c r="B809" s="113" t="s">
        <v>17</v>
      </c>
    </row>
    <row r="810" spans="1:2" x14ac:dyDescent="0.3">
      <c r="A810" s="113" t="s">
        <v>36</v>
      </c>
      <c r="B810" s="113" t="s">
        <v>17</v>
      </c>
    </row>
    <row r="811" spans="1:2" x14ac:dyDescent="0.3">
      <c r="A811" s="113" t="s">
        <v>36</v>
      </c>
      <c r="B811" s="113" t="s">
        <v>17</v>
      </c>
    </row>
    <row r="812" spans="1:2" x14ac:dyDescent="0.3">
      <c r="A812" s="113" t="s">
        <v>36</v>
      </c>
      <c r="B812" s="113" t="s">
        <v>121</v>
      </c>
    </row>
    <row r="813" spans="1:2" x14ac:dyDescent="0.3">
      <c r="A813" s="113" t="s">
        <v>36</v>
      </c>
      <c r="B813" s="113" t="s">
        <v>17</v>
      </c>
    </row>
    <row r="814" spans="1:2" x14ac:dyDescent="0.3">
      <c r="A814" s="113" t="s">
        <v>36</v>
      </c>
      <c r="B814" s="113" t="s">
        <v>17</v>
      </c>
    </row>
    <row r="815" spans="1:2" x14ac:dyDescent="0.3">
      <c r="A815" s="113" t="s">
        <v>36</v>
      </c>
      <c r="B815" s="113" t="s">
        <v>121</v>
      </c>
    </row>
    <row r="816" spans="1:2" x14ac:dyDescent="0.3">
      <c r="A816" s="113" t="s">
        <v>36</v>
      </c>
      <c r="B816" s="113" t="s">
        <v>121</v>
      </c>
    </row>
    <row r="817" spans="1:2" x14ac:dyDescent="0.3">
      <c r="A817" s="113" t="s">
        <v>36</v>
      </c>
      <c r="B817" s="113" t="s">
        <v>17</v>
      </c>
    </row>
    <row r="818" spans="1:2" x14ac:dyDescent="0.3">
      <c r="A818" s="113" t="s">
        <v>62</v>
      </c>
      <c r="B818" s="113" t="s">
        <v>121</v>
      </c>
    </row>
    <row r="819" spans="1:2" x14ac:dyDescent="0.3">
      <c r="A819" s="113" t="s">
        <v>62</v>
      </c>
      <c r="B819" s="113" t="s">
        <v>121</v>
      </c>
    </row>
    <row r="820" spans="1:2" x14ac:dyDescent="0.3">
      <c r="A820" s="113" t="s">
        <v>62</v>
      </c>
      <c r="B820" s="113" t="s">
        <v>121</v>
      </c>
    </row>
    <row r="821" spans="1:2" x14ac:dyDescent="0.3">
      <c r="A821" s="113" t="s">
        <v>62</v>
      </c>
      <c r="B821" s="113" t="s">
        <v>121</v>
      </c>
    </row>
    <row r="822" spans="1:2" x14ac:dyDescent="0.3">
      <c r="A822" s="113" t="s">
        <v>62</v>
      </c>
      <c r="B822" s="113" t="s">
        <v>121</v>
      </c>
    </row>
    <row r="823" spans="1:2" x14ac:dyDescent="0.3">
      <c r="A823" s="113" t="s">
        <v>62</v>
      </c>
      <c r="B823" s="113" t="s">
        <v>121</v>
      </c>
    </row>
    <row r="824" spans="1:2" x14ac:dyDescent="0.3">
      <c r="A824" s="113" t="s">
        <v>62</v>
      </c>
      <c r="B824" s="113" t="s">
        <v>121</v>
      </c>
    </row>
    <row r="825" spans="1:2" x14ac:dyDescent="0.3">
      <c r="A825" s="113" t="s">
        <v>62</v>
      </c>
      <c r="B825" s="113" t="s">
        <v>121</v>
      </c>
    </row>
    <row r="826" spans="1:2" x14ac:dyDescent="0.3">
      <c r="A826" s="113" t="s">
        <v>62</v>
      </c>
      <c r="B826" s="113" t="s">
        <v>121</v>
      </c>
    </row>
    <row r="827" spans="1:2" x14ac:dyDescent="0.3">
      <c r="A827" s="113" t="s">
        <v>62</v>
      </c>
      <c r="B827" s="113" t="s">
        <v>121</v>
      </c>
    </row>
    <row r="828" spans="1:2" x14ac:dyDescent="0.3">
      <c r="A828" s="113" t="s">
        <v>62</v>
      </c>
      <c r="B828" s="113" t="s">
        <v>121</v>
      </c>
    </row>
    <row r="829" spans="1:2" x14ac:dyDescent="0.3">
      <c r="A829" s="113" t="s">
        <v>62</v>
      </c>
      <c r="B829" s="113" t="s">
        <v>121</v>
      </c>
    </row>
    <row r="830" spans="1:2" x14ac:dyDescent="0.3">
      <c r="A830" s="113" t="s">
        <v>62</v>
      </c>
      <c r="B830" s="113" t="s">
        <v>121</v>
      </c>
    </row>
    <row r="831" spans="1:2" x14ac:dyDescent="0.3">
      <c r="A831" s="113" t="s">
        <v>62</v>
      </c>
      <c r="B831" s="113" t="s">
        <v>121</v>
      </c>
    </row>
    <row r="832" spans="1:2" x14ac:dyDescent="0.3">
      <c r="A832" s="113" t="s">
        <v>62</v>
      </c>
      <c r="B832" s="113" t="s">
        <v>121</v>
      </c>
    </row>
    <row r="833" spans="1:2" x14ac:dyDescent="0.3">
      <c r="A833" s="113" t="s">
        <v>62</v>
      </c>
      <c r="B833" s="113" t="s">
        <v>121</v>
      </c>
    </row>
    <row r="834" spans="1:2" x14ac:dyDescent="0.3">
      <c r="A834" s="113" t="s">
        <v>62</v>
      </c>
      <c r="B834" s="113" t="s">
        <v>121</v>
      </c>
    </row>
    <row r="835" spans="1:2" x14ac:dyDescent="0.3">
      <c r="A835" s="113" t="s">
        <v>62</v>
      </c>
      <c r="B835" s="113" t="s">
        <v>121</v>
      </c>
    </row>
    <row r="836" spans="1:2" x14ac:dyDescent="0.3">
      <c r="A836" s="113" t="s">
        <v>62</v>
      </c>
      <c r="B836" s="113" t="s">
        <v>121</v>
      </c>
    </row>
    <row r="837" spans="1:2" x14ac:dyDescent="0.3">
      <c r="A837" s="113" t="s">
        <v>62</v>
      </c>
      <c r="B837" s="113" t="s">
        <v>121</v>
      </c>
    </row>
    <row r="838" spans="1:2" x14ac:dyDescent="0.3">
      <c r="A838" s="113" t="s">
        <v>62</v>
      </c>
      <c r="B838" s="113" t="s">
        <v>121</v>
      </c>
    </row>
    <row r="839" spans="1:2" x14ac:dyDescent="0.3">
      <c r="A839" s="113" t="s">
        <v>62</v>
      </c>
      <c r="B839" s="113" t="s">
        <v>121</v>
      </c>
    </row>
    <row r="840" spans="1:2" x14ac:dyDescent="0.3">
      <c r="A840" s="113" t="s">
        <v>62</v>
      </c>
      <c r="B840" s="113" t="s">
        <v>121</v>
      </c>
    </row>
    <row r="841" spans="1:2" x14ac:dyDescent="0.3">
      <c r="A841" s="113" t="s">
        <v>62</v>
      </c>
      <c r="B841" s="113" t="s">
        <v>121</v>
      </c>
    </row>
    <row r="842" spans="1:2" x14ac:dyDescent="0.3">
      <c r="A842" s="113" t="s">
        <v>62</v>
      </c>
      <c r="B842" s="113" t="s">
        <v>121</v>
      </c>
    </row>
    <row r="843" spans="1:2" x14ac:dyDescent="0.3">
      <c r="A843" s="113" t="s">
        <v>62</v>
      </c>
      <c r="B843" s="113" t="s">
        <v>121</v>
      </c>
    </row>
    <row r="844" spans="1:2" x14ac:dyDescent="0.3">
      <c r="A844" s="113" t="s">
        <v>62</v>
      </c>
      <c r="B844" s="113" t="s">
        <v>121</v>
      </c>
    </row>
    <row r="845" spans="1:2" x14ac:dyDescent="0.3">
      <c r="A845" s="113" t="s">
        <v>62</v>
      </c>
      <c r="B845" s="113" t="s">
        <v>121</v>
      </c>
    </row>
    <row r="846" spans="1:2" x14ac:dyDescent="0.3">
      <c r="A846" s="113" t="s">
        <v>62</v>
      </c>
      <c r="B846" s="113" t="s">
        <v>121</v>
      </c>
    </row>
    <row r="847" spans="1:2" x14ac:dyDescent="0.3">
      <c r="A847" s="113" t="s">
        <v>62</v>
      </c>
      <c r="B847" s="113" t="s">
        <v>121</v>
      </c>
    </row>
    <row r="848" spans="1:2" x14ac:dyDescent="0.3">
      <c r="A848" s="113" t="s">
        <v>62</v>
      </c>
      <c r="B848" s="113" t="s">
        <v>121</v>
      </c>
    </row>
    <row r="849" spans="1:2" x14ac:dyDescent="0.3">
      <c r="A849" s="113" t="s">
        <v>62</v>
      </c>
      <c r="B849" s="113" t="s">
        <v>121</v>
      </c>
    </row>
    <row r="850" spans="1:2" x14ac:dyDescent="0.3">
      <c r="A850" s="113" t="s">
        <v>62</v>
      </c>
      <c r="B850" s="113" t="s">
        <v>121</v>
      </c>
    </row>
    <row r="851" spans="1:2" x14ac:dyDescent="0.3">
      <c r="A851" s="113" t="s">
        <v>62</v>
      </c>
      <c r="B851" s="113" t="s">
        <v>121</v>
      </c>
    </row>
    <row r="852" spans="1:2" x14ac:dyDescent="0.3">
      <c r="A852" s="113" t="s">
        <v>62</v>
      </c>
      <c r="B852" s="113" t="s">
        <v>121</v>
      </c>
    </row>
    <row r="853" spans="1:2" x14ac:dyDescent="0.3">
      <c r="A853" s="113" t="s">
        <v>62</v>
      </c>
      <c r="B853" s="113" t="s">
        <v>121</v>
      </c>
    </row>
    <row r="854" spans="1:2" x14ac:dyDescent="0.3">
      <c r="A854" s="113" t="s">
        <v>62</v>
      </c>
      <c r="B854" s="113" t="s">
        <v>121</v>
      </c>
    </row>
    <row r="855" spans="1:2" x14ac:dyDescent="0.3">
      <c r="A855" s="113" t="s">
        <v>62</v>
      </c>
      <c r="B855" s="113" t="s">
        <v>121</v>
      </c>
    </row>
    <row r="856" spans="1:2" x14ac:dyDescent="0.3">
      <c r="A856" s="113" t="s">
        <v>62</v>
      </c>
      <c r="B856" s="113" t="s">
        <v>121</v>
      </c>
    </row>
    <row r="857" spans="1:2" x14ac:dyDescent="0.3">
      <c r="A857" s="113" t="s">
        <v>62</v>
      </c>
      <c r="B857" s="113" t="s">
        <v>121</v>
      </c>
    </row>
    <row r="858" spans="1:2" x14ac:dyDescent="0.3">
      <c r="A858" s="113" t="s">
        <v>62</v>
      </c>
      <c r="B858" s="113" t="s">
        <v>121</v>
      </c>
    </row>
    <row r="859" spans="1:2" x14ac:dyDescent="0.3">
      <c r="A859" s="113" t="s">
        <v>62</v>
      </c>
      <c r="B859" s="113" t="s">
        <v>121</v>
      </c>
    </row>
    <row r="860" spans="1:2" x14ac:dyDescent="0.3">
      <c r="A860" s="113" t="s">
        <v>62</v>
      </c>
      <c r="B860" s="113" t="s">
        <v>121</v>
      </c>
    </row>
    <row r="861" spans="1:2" x14ac:dyDescent="0.3">
      <c r="A861" s="113" t="s">
        <v>62</v>
      </c>
      <c r="B861" s="113" t="s">
        <v>121</v>
      </c>
    </row>
    <row r="862" spans="1:2" x14ac:dyDescent="0.3">
      <c r="A862" s="113" t="s">
        <v>62</v>
      </c>
      <c r="B862" s="113" t="s">
        <v>121</v>
      </c>
    </row>
    <row r="863" spans="1:2" x14ac:dyDescent="0.3">
      <c r="A863" s="113" t="s">
        <v>62</v>
      </c>
      <c r="B863" s="113" t="s">
        <v>121</v>
      </c>
    </row>
    <row r="864" spans="1:2" x14ac:dyDescent="0.3">
      <c r="A864" s="113" t="s">
        <v>62</v>
      </c>
      <c r="B864" s="113" t="s">
        <v>121</v>
      </c>
    </row>
    <row r="865" spans="1:2" x14ac:dyDescent="0.3">
      <c r="A865" s="113" t="s">
        <v>62</v>
      </c>
      <c r="B865" s="113" t="s">
        <v>121</v>
      </c>
    </row>
    <row r="866" spans="1:2" x14ac:dyDescent="0.3">
      <c r="A866" s="113" t="s">
        <v>62</v>
      </c>
      <c r="B866" s="113" t="s">
        <v>121</v>
      </c>
    </row>
    <row r="867" spans="1:2" x14ac:dyDescent="0.3">
      <c r="A867" s="113" t="s">
        <v>62</v>
      </c>
      <c r="B867" s="113" t="s">
        <v>121</v>
      </c>
    </row>
    <row r="868" spans="1:2" x14ac:dyDescent="0.3">
      <c r="A868" s="113" t="s">
        <v>62</v>
      </c>
      <c r="B868" s="113" t="s">
        <v>121</v>
      </c>
    </row>
    <row r="869" spans="1:2" x14ac:dyDescent="0.3">
      <c r="A869" s="113" t="s">
        <v>62</v>
      </c>
      <c r="B869" s="113" t="s">
        <v>121</v>
      </c>
    </row>
    <row r="870" spans="1:2" x14ac:dyDescent="0.3">
      <c r="A870" s="113" t="s">
        <v>62</v>
      </c>
      <c r="B870" s="113" t="s">
        <v>121</v>
      </c>
    </row>
    <row r="871" spans="1:2" x14ac:dyDescent="0.3">
      <c r="A871" s="113" t="s">
        <v>62</v>
      </c>
      <c r="B871" s="113" t="s">
        <v>121</v>
      </c>
    </row>
    <row r="872" spans="1:2" x14ac:dyDescent="0.3">
      <c r="A872" s="113" t="s">
        <v>62</v>
      </c>
      <c r="B872" s="113" t="s">
        <v>121</v>
      </c>
    </row>
    <row r="873" spans="1:2" x14ac:dyDescent="0.3">
      <c r="A873" s="113" t="s">
        <v>62</v>
      </c>
      <c r="B873" s="113" t="s">
        <v>121</v>
      </c>
    </row>
    <row r="874" spans="1:2" x14ac:dyDescent="0.3">
      <c r="A874" s="113" t="s">
        <v>62</v>
      </c>
      <c r="B874" s="113" t="s">
        <v>121</v>
      </c>
    </row>
    <row r="875" spans="1:2" x14ac:dyDescent="0.3">
      <c r="A875" s="113" t="s">
        <v>62</v>
      </c>
      <c r="B875" s="113" t="s">
        <v>121</v>
      </c>
    </row>
    <row r="876" spans="1:2" x14ac:dyDescent="0.3">
      <c r="A876" s="113" t="s">
        <v>62</v>
      </c>
      <c r="B876" s="113" t="s">
        <v>121</v>
      </c>
    </row>
    <row r="877" spans="1:2" x14ac:dyDescent="0.3">
      <c r="A877" s="113" t="s">
        <v>62</v>
      </c>
      <c r="B877" s="113" t="s">
        <v>121</v>
      </c>
    </row>
    <row r="878" spans="1:2" x14ac:dyDescent="0.3">
      <c r="A878" s="113" t="s">
        <v>62</v>
      </c>
      <c r="B878" s="113" t="s">
        <v>121</v>
      </c>
    </row>
    <row r="879" spans="1:2" x14ac:dyDescent="0.3">
      <c r="A879" s="113" t="s">
        <v>62</v>
      </c>
      <c r="B879" s="113" t="s">
        <v>121</v>
      </c>
    </row>
    <row r="880" spans="1:2" x14ac:dyDescent="0.3">
      <c r="A880" s="113" t="s">
        <v>62</v>
      </c>
      <c r="B880" s="113" t="s">
        <v>121</v>
      </c>
    </row>
    <row r="881" spans="1:2" x14ac:dyDescent="0.3">
      <c r="A881" s="113" t="s">
        <v>62</v>
      </c>
      <c r="B881" s="113" t="s">
        <v>121</v>
      </c>
    </row>
    <row r="882" spans="1:2" x14ac:dyDescent="0.3">
      <c r="A882" s="113" t="s">
        <v>62</v>
      </c>
      <c r="B882" s="113" t="s">
        <v>121</v>
      </c>
    </row>
    <row r="883" spans="1:2" x14ac:dyDescent="0.3">
      <c r="A883" s="113" t="s">
        <v>27</v>
      </c>
      <c r="B883" s="113" t="s">
        <v>121</v>
      </c>
    </row>
    <row r="884" spans="1:2" x14ac:dyDescent="0.3">
      <c r="A884" s="113" t="s">
        <v>27</v>
      </c>
      <c r="B884" s="113" t="s">
        <v>121</v>
      </c>
    </row>
    <row r="885" spans="1:2" x14ac:dyDescent="0.3">
      <c r="A885" s="113" t="s">
        <v>27</v>
      </c>
      <c r="B885" s="113" t="s">
        <v>121</v>
      </c>
    </row>
    <row r="886" spans="1:2" x14ac:dyDescent="0.3">
      <c r="A886" s="113" t="s">
        <v>27</v>
      </c>
      <c r="B886" s="113" t="s">
        <v>121</v>
      </c>
    </row>
    <row r="887" spans="1:2" x14ac:dyDescent="0.3">
      <c r="A887" s="113" t="s">
        <v>27</v>
      </c>
      <c r="B887" s="113" t="s">
        <v>121</v>
      </c>
    </row>
    <row r="888" spans="1:2" x14ac:dyDescent="0.3">
      <c r="A888" s="113" t="s">
        <v>27</v>
      </c>
      <c r="B888" s="113" t="s">
        <v>121</v>
      </c>
    </row>
    <row r="889" spans="1:2" x14ac:dyDescent="0.3">
      <c r="A889" s="113" t="s">
        <v>27</v>
      </c>
      <c r="B889" s="113" t="s">
        <v>121</v>
      </c>
    </row>
    <row r="890" spans="1:2" x14ac:dyDescent="0.3">
      <c r="A890" s="113" t="s">
        <v>27</v>
      </c>
      <c r="B890" s="113" t="s">
        <v>121</v>
      </c>
    </row>
    <row r="891" spans="1:2" x14ac:dyDescent="0.3">
      <c r="A891" s="113" t="s">
        <v>27</v>
      </c>
      <c r="B891" s="113" t="s">
        <v>121</v>
      </c>
    </row>
    <row r="892" spans="1:2" x14ac:dyDescent="0.3">
      <c r="A892" s="113" t="s">
        <v>27</v>
      </c>
      <c r="B892" s="113" t="s">
        <v>121</v>
      </c>
    </row>
    <row r="893" spans="1:2" x14ac:dyDescent="0.3">
      <c r="A893" s="113" t="s">
        <v>27</v>
      </c>
      <c r="B893" s="113" t="s">
        <v>121</v>
      </c>
    </row>
    <row r="894" spans="1:2" x14ac:dyDescent="0.3">
      <c r="A894" s="113" t="s">
        <v>27</v>
      </c>
      <c r="B894" s="113" t="s">
        <v>121</v>
      </c>
    </row>
    <row r="895" spans="1:2" x14ac:dyDescent="0.3">
      <c r="A895" s="113" t="s">
        <v>27</v>
      </c>
      <c r="B895" s="113" t="s">
        <v>121</v>
      </c>
    </row>
    <row r="896" spans="1:2" x14ac:dyDescent="0.3">
      <c r="A896" s="113" t="s">
        <v>27</v>
      </c>
      <c r="B896" s="113" t="s">
        <v>121</v>
      </c>
    </row>
    <row r="897" spans="1:2" x14ac:dyDescent="0.3">
      <c r="A897" s="113" t="s">
        <v>27</v>
      </c>
      <c r="B897" s="113" t="s">
        <v>121</v>
      </c>
    </row>
    <row r="898" spans="1:2" x14ac:dyDescent="0.3">
      <c r="A898" s="113" t="s">
        <v>27</v>
      </c>
      <c r="B898" s="113" t="s">
        <v>121</v>
      </c>
    </row>
    <row r="899" spans="1:2" x14ac:dyDescent="0.3">
      <c r="A899" s="113" t="s">
        <v>27</v>
      </c>
      <c r="B899" s="113" t="s">
        <v>121</v>
      </c>
    </row>
    <row r="900" spans="1:2" x14ac:dyDescent="0.3">
      <c r="A900" s="113" t="s">
        <v>27</v>
      </c>
      <c r="B900" s="113" t="s">
        <v>121</v>
      </c>
    </row>
    <row r="901" spans="1:2" x14ac:dyDescent="0.3">
      <c r="A901" s="113" t="s">
        <v>27</v>
      </c>
      <c r="B901" s="113" t="s">
        <v>121</v>
      </c>
    </row>
    <row r="902" spans="1:2" x14ac:dyDescent="0.3">
      <c r="A902" s="113" t="s">
        <v>27</v>
      </c>
      <c r="B902" s="113" t="s">
        <v>121</v>
      </c>
    </row>
    <row r="903" spans="1:2" x14ac:dyDescent="0.3">
      <c r="A903" s="113" t="s">
        <v>27</v>
      </c>
      <c r="B903" s="113" t="s">
        <v>121</v>
      </c>
    </row>
    <row r="904" spans="1:2" x14ac:dyDescent="0.3">
      <c r="A904" s="113" t="s">
        <v>27</v>
      </c>
      <c r="B904" s="113" t="s">
        <v>121</v>
      </c>
    </row>
    <row r="905" spans="1:2" x14ac:dyDescent="0.3">
      <c r="A905" s="113" t="s">
        <v>27</v>
      </c>
      <c r="B905" s="113" t="s">
        <v>121</v>
      </c>
    </row>
    <row r="906" spans="1:2" x14ac:dyDescent="0.3">
      <c r="A906" s="113" t="s">
        <v>27</v>
      </c>
      <c r="B906" s="113" t="s">
        <v>121</v>
      </c>
    </row>
    <row r="907" spans="1:2" x14ac:dyDescent="0.3">
      <c r="A907" s="113" t="s">
        <v>27</v>
      </c>
      <c r="B907" s="113" t="s">
        <v>121</v>
      </c>
    </row>
    <row r="908" spans="1:2" x14ac:dyDescent="0.3">
      <c r="A908" s="113" t="s">
        <v>27</v>
      </c>
      <c r="B908" s="113" t="s">
        <v>121</v>
      </c>
    </row>
    <row r="909" spans="1:2" x14ac:dyDescent="0.3">
      <c r="A909" s="113" t="s">
        <v>27</v>
      </c>
      <c r="B909" s="113" t="s">
        <v>121</v>
      </c>
    </row>
    <row r="910" spans="1:2" x14ac:dyDescent="0.3">
      <c r="A910" s="113" t="s">
        <v>27</v>
      </c>
      <c r="B910" s="113" t="s">
        <v>121</v>
      </c>
    </row>
    <row r="911" spans="1:2" x14ac:dyDescent="0.3">
      <c r="A911" s="113" t="s">
        <v>27</v>
      </c>
      <c r="B911" s="113" t="s">
        <v>121</v>
      </c>
    </row>
    <row r="912" spans="1:2" x14ac:dyDescent="0.3">
      <c r="A912" s="113" t="s">
        <v>27</v>
      </c>
      <c r="B912" s="113" t="s">
        <v>121</v>
      </c>
    </row>
    <row r="913" spans="1:2" x14ac:dyDescent="0.3">
      <c r="A913" s="113" t="s">
        <v>27</v>
      </c>
      <c r="B913" s="113" t="s">
        <v>121</v>
      </c>
    </row>
    <row r="914" spans="1:2" x14ac:dyDescent="0.3">
      <c r="A914" s="113" t="s">
        <v>27</v>
      </c>
      <c r="B914" s="113" t="s">
        <v>121</v>
      </c>
    </row>
    <row r="915" spans="1:2" x14ac:dyDescent="0.3">
      <c r="A915" s="113" t="s">
        <v>27</v>
      </c>
      <c r="B915" s="113" t="s">
        <v>121</v>
      </c>
    </row>
    <row r="916" spans="1:2" x14ac:dyDescent="0.3">
      <c r="A916" s="113" t="s">
        <v>27</v>
      </c>
      <c r="B916" s="113" t="s">
        <v>121</v>
      </c>
    </row>
    <row r="917" spans="1:2" x14ac:dyDescent="0.3">
      <c r="A917" s="113" t="s">
        <v>27</v>
      </c>
      <c r="B917" s="113" t="s">
        <v>121</v>
      </c>
    </row>
    <row r="918" spans="1:2" x14ac:dyDescent="0.3">
      <c r="A918" s="113" t="s">
        <v>27</v>
      </c>
      <c r="B918" s="113" t="s">
        <v>121</v>
      </c>
    </row>
    <row r="919" spans="1:2" x14ac:dyDescent="0.3">
      <c r="A919" s="113" t="s">
        <v>27</v>
      </c>
      <c r="B919" s="113" t="s">
        <v>121</v>
      </c>
    </row>
    <row r="920" spans="1:2" x14ac:dyDescent="0.3">
      <c r="A920" s="113" t="s">
        <v>27</v>
      </c>
      <c r="B920" s="113" t="s">
        <v>121</v>
      </c>
    </row>
    <row r="921" spans="1:2" x14ac:dyDescent="0.3">
      <c r="A921" s="113" t="s">
        <v>27</v>
      </c>
      <c r="B921" s="113" t="s">
        <v>121</v>
      </c>
    </row>
    <row r="922" spans="1:2" x14ac:dyDescent="0.3">
      <c r="A922" s="113" t="s">
        <v>27</v>
      </c>
      <c r="B922" s="113" t="s">
        <v>121</v>
      </c>
    </row>
    <row r="923" spans="1:2" x14ac:dyDescent="0.3">
      <c r="A923" s="113" t="s">
        <v>27</v>
      </c>
      <c r="B923" s="113" t="s">
        <v>121</v>
      </c>
    </row>
    <row r="924" spans="1:2" x14ac:dyDescent="0.3">
      <c r="A924" s="113" t="s">
        <v>27</v>
      </c>
      <c r="B924" s="113" t="s">
        <v>121</v>
      </c>
    </row>
    <row r="925" spans="1:2" x14ac:dyDescent="0.3">
      <c r="A925" s="113" t="s">
        <v>27</v>
      </c>
      <c r="B925" s="113" t="s">
        <v>121</v>
      </c>
    </row>
    <row r="926" spans="1:2" x14ac:dyDescent="0.3">
      <c r="A926" s="113" t="s">
        <v>27</v>
      </c>
      <c r="B926" s="113" t="s">
        <v>121</v>
      </c>
    </row>
    <row r="927" spans="1:2" x14ac:dyDescent="0.3">
      <c r="A927" s="113" t="s">
        <v>27</v>
      </c>
      <c r="B927" s="113" t="s">
        <v>121</v>
      </c>
    </row>
    <row r="928" spans="1:2" x14ac:dyDescent="0.3">
      <c r="A928" s="113" t="s">
        <v>27</v>
      </c>
      <c r="B928" s="113" t="s">
        <v>121</v>
      </c>
    </row>
    <row r="929" spans="1:2" x14ac:dyDescent="0.3">
      <c r="A929" s="113" t="s">
        <v>27</v>
      </c>
      <c r="B929" s="113" t="s">
        <v>121</v>
      </c>
    </row>
    <row r="930" spans="1:2" x14ac:dyDescent="0.3">
      <c r="A930" s="113" t="s">
        <v>27</v>
      </c>
      <c r="B930" s="113" t="s">
        <v>121</v>
      </c>
    </row>
    <row r="931" spans="1:2" x14ac:dyDescent="0.3">
      <c r="A931" s="113" t="s">
        <v>27</v>
      </c>
      <c r="B931" s="113" t="s">
        <v>121</v>
      </c>
    </row>
    <row r="932" spans="1:2" x14ac:dyDescent="0.3">
      <c r="A932" s="113" t="s">
        <v>27</v>
      </c>
      <c r="B932" s="113" t="s">
        <v>121</v>
      </c>
    </row>
    <row r="933" spans="1:2" x14ac:dyDescent="0.3">
      <c r="A933" s="113" t="s">
        <v>27</v>
      </c>
      <c r="B933" s="113" t="s">
        <v>121</v>
      </c>
    </row>
    <row r="934" spans="1:2" x14ac:dyDescent="0.3">
      <c r="A934" s="113" t="s">
        <v>27</v>
      </c>
      <c r="B934" s="113" t="s">
        <v>121</v>
      </c>
    </row>
    <row r="935" spans="1:2" x14ac:dyDescent="0.3">
      <c r="A935" s="113" t="s">
        <v>27</v>
      </c>
      <c r="B935" s="113" t="s">
        <v>121</v>
      </c>
    </row>
    <row r="936" spans="1:2" x14ac:dyDescent="0.3">
      <c r="A936" s="113" t="s">
        <v>27</v>
      </c>
      <c r="B936" s="113" t="s">
        <v>121</v>
      </c>
    </row>
    <row r="937" spans="1:2" x14ac:dyDescent="0.3">
      <c r="A937" s="113" t="s">
        <v>27</v>
      </c>
      <c r="B937" s="113" t="s">
        <v>121</v>
      </c>
    </row>
    <row r="938" spans="1:2" x14ac:dyDescent="0.3">
      <c r="A938" s="113" t="s">
        <v>27</v>
      </c>
      <c r="B938" s="113" t="s">
        <v>121</v>
      </c>
    </row>
    <row r="939" spans="1:2" x14ac:dyDescent="0.3">
      <c r="A939" s="113" t="s">
        <v>27</v>
      </c>
      <c r="B939" s="113" t="s">
        <v>121</v>
      </c>
    </row>
    <row r="940" spans="1:2" x14ac:dyDescent="0.3">
      <c r="A940" s="113" t="s">
        <v>27</v>
      </c>
      <c r="B940" s="113" t="s">
        <v>121</v>
      </c>
    </row>
    <row r="941" spans="1:2" x14ac:dyDescent="0.3">
      <c r="A941" s="113" t="s">
        <v>27</v>
      </c>
      <c r="B941" s="113" t="s">
        <v>121</v>
      </c>
    </row>
    <row r="942" spans="1:2" x14ac:dyDescent="0.3">
      <c r="A942" s="113" t="s">
        <v>27</v>
      </c>
      <c r="B942" s="113" t="s">
        <v>121</v>
      </c>
    </row>
    <row r="943" spans="1:2" x14ac:dyDescent="0.3">
      <c r="A943" s="113" t="s">
        <v>27</v>
      </c>
      <c r="B943" s="113" t="s">
        <v>121</v>
      </c>
    </row>
    <row r="944" spans="1:2" x14ac:dyDescent="0.3">
      <c r="A944" s="113" t="s">
        <v>27</v>
      </c>
      <c r="B944" s="113" t="s">
        <v>121</v>
      </c>
    </row>
    <row r="945" spans="1:2" x14ac:dyDescent="0.3">
      <c r="A945" s="113" t="s">
        <v>27</v>
      </c>
      <c r="B945" s="113" t="s">
        <v>121</v>
      </c>
    </row>
    <row r="946" spans="1:2" x14ac:dyDescent="0.3">
      <c r="A946" s="113" t="s">
        <v>27</v>
      </c>
      <c r="B946" s="113" t="s">
        <v>121</v>
      </c>
    </row>
    <row r="947" spans="1:2" x14ac:dyDescent="0.3">
      <c r="A947" s="113" t="s">
        <v>27</v>
      </c>
      <c r="B947" s="113" t="s">
        <v>121</v>
      </c>
    </row>
    <row r="948" spans="1:2" x14ac:dyDescent="0.3">
      <c r="A948" s="113" t="s">
        <v>27</v>
      </c>
      <c r="B948" s="113" t="s">
        <v>121</v>
      </c>
    </row>
    <row r="949" spans="1:2" x14ac:dyDescent="0.3">
      <c r="A949" s="113" t="s">
        <v>27</v>
      </c>
      <c r="B949" s="113" t="s">
        <v>121</v>
      </c>
    </row>
    <row r="950" spans="1:2" x14ac:dyDescent="0.3">
      <c r="A950" s="113" t="s">
        <v>27</v>
      </c>
      <c r="B950" s="113" t="s">
        <v>121</v>
      </c>
    </row>
    <row r="951" spans="1:2" x14ac:dyDescent="0.3">
      <c r="A951" s="113" t="s">
        <v>27</v>
      </c>
      <c r="B951" s="113" t="s">
        <v>121</v>
      </c>
    </row>
    <row r="952" spans="1:2" x14ac:dyDescent="0.3">
      <c r="A952" s="113" t="s">
        <v>27</v>
      </c>
      <c r="B952" s="113" t="s">
        <v>121</v>
      </c>
    </row>
    <row r="953" spans="1:2" x14ac:dyDescent="0.3">
      <c r="A953" s="113" t="s">
        <v>27</v>
      </c>
      <c r="B953" s="113" t="s">
        <v>121</v>
      </c>
    </row>
    <row r="954" spans="1:2" x14ac:dyDescent="0.3">
      <c r="A954" s="113" t="s">
        <v>64</v>
      </c>
      <c r="B954" s="113" t="s">
        <v>17</v>
      </c>
    </row>
    <row r="955" spans="1:2" x14ac:dyDescent="0.3">
      <c r="A955" s="113" t="s">
        <v>64</v>
      </c>
      <c r="B955" s="113" t="s">
        <v>17</v>
      </c>
    </row>
    <row r="956" spans="1:2" x14ac:dyDescent="0.3">
      <c r="A956" s="113" t="s">
        <v>67</v>
      </c>
      <c r="B956" s="113" t="s">
        <v>17</v>
      </c>
    </row>
    <row r="957" spans="1:2" x14ac:dyDescent="0.3">
      <c r="A957" s="113" t="s">
        <v>67</v>
      </c>
      <c r="B957" s="113" t="s">
        <v>17</v>
      </c>
    </row>
    <row r="958" spans="1:2" x14ac:dyDescent="0.3">
      <c r="A958" s="113" t="s">
        <v>90</v>
      </c>
      <c r="B958" s="113" t="s">
        <v>29</v>
      </c>
    </row>
    <row r="959" spans="1:2" x14ac:dyDescent="0.3">
      <c r="A959" s="113" t="s">
        <v>90</v>
      </c>
      <c r="B959" s="113" t="s">
        <v>29</v>
      </c>
    </row>
    <row r="960" spans="1:2" x14ac:dyDescent="0.3">
      <c r="A960" s="113" t="s">
        <v>90</v>
      </c>
      <c r="B960" s="113" t="s">
        <v>29</v>
      </c>
    </row>
    <row r="961" spans="1:2" x14ac:dyDescent="0.3">
      <c r="A961" s="113" t="s">
        <v>90</v>
      </c>
      <c r="B961" s="113" t="s">
        <v>29</v>
      </c>
    </row>
    <row r="962" spans="1:2" x14ac:dyDescent="0.3">
      <c r="A962" s="113" t="s">
        <v>90</v>
      </c>
      <c r="B962" s="113" t="s">
        <v>29</v>
      </c>
    </row>
    <row r="963" spans="1:2" x14ac:dyDescent="0.3">
      <c r="A963" s="113" t="s">
        <v>90</v>
      </c>
      <c r="B963" s="113" t="s">
        <v>29</v>
      </c>
    </row>
    <row r="964" spans="1:2" x14ac:dyDescent="0.3">
      <c r="A964" s="113" t="s">
        <v>90</v>
      </c>
      <c r="B964" s="113" t="s">
        <v>29</v>
      </c>
    </row>
    <row r="965" spans="1:2" x14ac:dyDescent="0.3">
      <c r="A965" s="113" t="s">
        <v>90</v>
      </c>
      <c r="B965" s="113" t="s">
        <v>29</v>
      </c>
    </row>
    <row r="966" spans="1:2" x14ac:dyDescent="0.3">
      <c r="A966" s="113" t="s">
        <v>90</v>
      </c>
      <c r="B966" s="113" t="s">
        <v>29</v>
      </c>
    </row>
    <row r="967" spans="1:2" x14ac:dyDescent="0.3">
      <c r="A967" s="113" t="s">
        <v>90</v>
      </c>
      <c r="B967" s="113" t="s">
        <v>29</v>
      </c>
    </row>
    <row r="968" spans="1:2" x14ac:dyDescent="0.3">
      <c r="A968" s="113" t="s">
        <v>90</v>
      </c>
      <c r="B968" s="113" t="s">
        <v>29</v>
      </c>
    </row>
    <row r="969" spans="1:2" x14ac:dyDescent="0.3">
      <c r="A969" s="113" t="s">
        <v>38</v>
      </c>
      <c r="B969" s="113" t="s">
        <v>29</v>
      </c>
    </row>
    <row r="970" spans="1:2" x14ac:dyDescent="0.3">
      <c r="A970" s="113" t="s">
        <v>38</v>
      </c>
      <c r="B970" s="113" t="s">
        <v>29</v>
      </c>
    </row>
    <row r="971" spans="1:2" x14ac:dyDescent="0.3">
      <c r="A971" s="113" t="s">
        <v>38</v>
      </c>
      <c r="B971" s="113" t="s">
        <v>29</v>
      </c>
    </row>
    <row r="972" spans="1:2" x14ac:dyDescent="0.3">
      <c r="A972" s="113" t="s">
        <v>38</v>
      </c>
      <c r="B972" s="113" t="s">
        <v>29</v>
      </c>
    </row>
    <row r="973" spans="1:2" x14ac:dyDescent="0.3">
      <c r="A973" s="113" t="s">
        <v>38</v>
      </c>
      <c r="B973" s="113" t="s">
        <v>29</v>
      </c>
    </row>
    <row r="974" spans="1:2" x14ac:dyDescent="0.3">
      <c r="A974" s="113" t="s">
        <v>38</v>
      </c>
      <c r="B974" s="113" t="s">
        <v>29</v>
      </c>
    </row>
    <row r="975" spans="1:2" x14ac:dyDescent="0.3">
      <c r="A975" s="113" t="s">
        <v>38</v>
      </c>
      <c r="B975" s="113" t="s">
        <v>29</v>
      </c>
    </row>
    <row r="976" spans="1:2" x14ac:dyDescent="0.3">
      <c r="A976" s="113" t="s">
        <v>38</v>
      </c>
      <c r="B976" s="113" t="s">
        <v>29</v>
      </c>
    </row>
    <row r="977" spans="1:2" x14ac:dyDescent="0.3">
      <c r="A977" s="113" t="s">
        <v>38</v>
      </c>
      <c r="B977" s="113" t="s">
        <v>29</v>
      </c>
    </row>
    <row r="978" spans="1:2" x14ac:dyDescent="0.3">
      <c r="A978" s="113" t="s">
        <v>38</v>
      </c>
      <c r="B978" s="113" t="s">
        <v>29</v>
      </c>
    </row>
    <row r="979" spans="1:2" x14ac:dyDescent="0.3">
      <c r="A979" s="113" t="s">
        <v>38</v>
      </c>
      <c r="B979" s="113" t="s">
        <v>29</v>
      </c>
    </row>
    <row r="980" spans="1:2" x14ac:dyDescent="0.3">
      <c r="A980" s="113" t="s">
        <v>71</v>
      </c>
      <c r="B980" s="113" t="s">
        <v>17</v>
      </c>
    </row>
    <row r="981" spans="1:2" x14ac:dyDescent="0.3">
      <c r="A981" s="113" t="s">
        <v>71</v>
      </c>
      <c r="B981" s="113" t="s">
        <v>17</v>
      </c>
    </row>
    <row r="982" spans="1:2" x14ac:dyDescent="0.3">
      <c r="A982" s="113" t="s">
        <v>71</v>
      </c>
      <c r="B982" s="113" t="s">
        <v>17</v>
      </c>
    </row>
    <row r="983" spans="1:2" x14ac:dyDescent="0.3">
      <c r="A983" s="113" t="s">
        <v>69</v>
      </c>
      <c r="B983" s="113" t="s">
        <v>17</v>
      </c>
    </row>
    <row r="984" spans="1:2" x14ac:dyDescent="0.3">
      <c r="A984" s="113" t="s">
        <v>65</v>
      </c>
      <c r="B984" s="113" t="s">
        <v>17</v>
      </c>
    </row>
    <row r="985" spans="1:2" x14ac:dyDescent="0.3">
      <c r="A985" s="113" t="s">
        <v>66</v>
      </c>
      <c r="B985" s="113" t="s">
        <v>17</v>
      </c>
    </row>
    <row r="986" spans="1:2" x14ac:dyDescent="0.3">
      <c r="A986" s="113" t="s">
        <v>66</v>
      </c>
      <c r="B986" s="113" t="s">
        <v>17</v>
      </c>
    </row>
    <row r="987" spans="1:2" x14ac:dyDescent="0.3">
      <c r="A987" s="113" t="s">
        <v>66</v>
      </c>
      <c r="B987" s="113" t="s">
        <v>17</v>
      </c>
    </row>
    <row r="988" spans="1:2" x14ac:dyDescent="0.3">
      <c r="A988" s="113" t="s">
        <v>66</v>
      </c>
      <c r="B988" s="113" t="s">
        <v>17</v>
      </c>
    </row>
    <row r="989" spans="1:2" x14ac:dyDescent="0.3">
      <c r="A989" s="113" t="s">
        <v>66</v>
      </c>
      <c r="B989" s="113" t="s">
        <v>17</v>
      </c>
    </row>
    <row r="990" spans="1:2" x14ac:dyDescent="0.3">
      <c r="A990" s="113" t="s">
        <v>66</v>
      </c>
      <c r="B990" s="113" t="s">
        <v>17</v>
      </c>
    </row>
    <row r="991" spans="1:2" x14ac:dyDescent="0.3">
      <c r="A991" s="113" t="s">
        <v>66</v>
      </c>
      <c r="B991" s="113" t="s">
        <v>17</v>
      </c>
    </row>
    <row r="992" spans="1:2" x14ac:dyDescent="0.3">
      <c r="A992" s="113" t="s">
        <v>66</v>
      </c>
      <c r="B992" s="113" t="s">
        <v>17</v>
      </c>
    </row>
    <row r="993" spans="1:2" x14ac:dyDescent="0.3">
      <c r="A993" s="113" t="s">
        <v>66</v>
      </c>
      <c r="B993" s="113" t="s">
        <v>17</v>
      </c>
    </row>
    <row r="994" spans="1:2" x14ac:dyDescent="0.3">
      <c r="A994" s="113" t="s">
        <v>66</v>
      </c>
      <c r="B994" s="113" t="s">
        <v>17</v>
      </c>
    </row>
    <row r="995" spans="1:2" x14ac:dyDescent="0.3">
      <c r="A995" s="113" t="s">
        <v>66</v>
      </c>
      <c r="B995" s="113" t="s">
        <v>17</v>
      </c>
    </row>
    <row r="996" spans="1:2" x14ac:dyDescent="0.3">
      <c r="A996" s="113" t="s">
        <v>68</v>
      </c>
      <c r="B996" s="113" t="s">
        <v>17</v>
      </c>
    </row>
    <row r="997" spans="1:2" x14ac:dyDescent="0.3">
      <c r="A997" s="113" t="s">
        <v>68</v>
      </c>
      <c r="B997" s="113" t="s">
        <v>17</v>
      </c>
    </row>
    <row r="998" spans="1:2" x14ac:dyDescent="0.3">
      <c r="A998" s="113" t="s">
        <v>68</v>
      </c>
      <c r="B998" s="113" t="s">
        <v>17</v>
      </c>
    </row>
    <row r="999" spans="1:2" x14ac:dyDescent="0.3">
      <c r="A999" s="113" t="s">
        <v>68</v>
      </c>
      <c r="B999" s="113" t="s">
        <v>17</v>
      </c>
    </row>
    <row r="1000" spans="1:2" x14ac:dyDescent="0.3">
      <c r="A1000" s="113" t="s">
        <v>68</v>
      </c>
      <c r="B1000" s="113" t="s">
        <v>17</v>
      </c>
    </row>
    <row r="1001" spans="1:2" x14ac:dyDescent="0.3">
      <c r="A1001" s="113" t="s">
        <v>68</v>
      </c>
      <c r="B1001" s="113" t="s">
        <v>17</v>
      </c>
    </row>
    <row r="1002" spans="1:2" x14ac:dyDescent="0.3">
      <c r="A1002" s="113" t="s">
        <v>68</v>
      </c>
      <c r="B1002" s="113" t="s">
        <v>17</v>
      </c>
    </row>
    <row r="1003" spans="1:2" x14ac:dyDescent="0.3">
      <c r="A1003" s="113" t="s">
        <v>68</v>
      </c>
      <c r="B1003" s="113" t="s">
        <v>17</v>
      </c>
    </row>
    <row r="1004" spans="1:2" x14ac:dyDescent="0.3">
      <c r="A1004" s="113" t="s">
        <v>68</v>
      </c>
      <c r="B1004" s="113" t="s">
        <v>17</v>
      </c>
    </row>
    <row r="1005" spans="1:2" x14ac:dyDescent="0.3">
      <c r="A1005" s="113" t="s">
        <v>68</v>
      </c>
      <c r="B1005" s="113" t="s">
        <v>17</v>
      </c>
    </row>
    <row r="1006" spans="1:2" x14ac:dyDescent="0.3">
      <c r="A1006" s="113" t="s">
        <v>68</v>
      </c>
      <c r="B1006" s="113" t="s">
        <v>17</v>
      </c>
    </row>
    <row r="1007" spans="1:2" x14ac:dyDescent="0.3">
      <c r="A1007" s="113" t="s">
        <v>68</v>
      </c>
      <c r="B1007" s="113" t="s">
        <v>17</v>
      </c>
    </row>
    <row r="1008" spans="1:2" x14ac:dyDescent="0.3">
      <c r="A1008" s="113" t="s">
        <v>68</v>
      </c>
      <c r="B1008" s="113" t="s">
        <v>17</v>
      </c>
    </row>
    <row r="1009" spans="1:2" x14ac:dyDescent="0.3">
      <c r="A1009" s="113" t="s">
        <v>68</v>
      </c>
      <c r="B1009" s="113" t="s">
        <v>17</v>
      </c>
    </row>
    <row r="1010" spans="1:2" x14ac:dyDescent="0.3">
      <c r="A1010" s="113" t="s">
        <v>68</v>
      </c>
      <c r="B1010" s="113" t="s">
        <v>17</v>
      </c>
    </row>
    <row r="1011" spans="1:2" x14ac:dyDescent="0.3">
      <c r="A1011" s="113" t="s">
        <v>68</v>
      </c>
      <c r="B1011" s="113" t="s">
        <v>17</v>
      </c>
    </row>
    <row r="1012" spans="1:2" x14ac:dyDescent="0.3">
      <c r="A1012" s="113" t="s">
        <v>68</v>
      </c>
      <c r="B1012" s="113" t="s">
        <v>17</v>
      </c>
    </row>
    <row r="1013" spans="1:2" x14ac:dyDescent="0.3">
      <c r="A1013" s="113" t="s">
        <v>68</v>
      </c>
      <c r="B1013" s="113" t="s">
        <v>17</v>
      </c>
    </row>
    <row r="1014" spans="1:2" x14ac:dyDescent="0.3">
      <c r="A1014" s="113" t="s">
        <v>68</v>
      </c>
      <c r="B1014" s="113" t="s">
        <v>17</v>
      </c>
    </row>
    <row r="1015" spans="1:2" x14ac:dyDescent="0.3">
      <c r="A1015" s="113" t="s">
        <v>68</v>
      </c>
      <c r="B1015" s="113" t="s">
        <v>17</v>
      </c>
    </row>
    <row r="1016" spans="1:2" x14ac:dyDescent="0.3">
      <c r="A1016" s="113" t="s">
        <v>68</v>
      </c>
      <c r="B1016" s="113" t="s">
        <v>17</v>
      </c>
    </row>
    <row r="1017" spans="1:2" x14ac:dyDescent="0.3">
      <c r="A1017" s="113" t="s">
        <v>68</v>
      </c>
      <c r="B1017" s="113" t="s">
        <v>17</v>
      </c>
    </row>
    <row r="1018" spans="1:2" x14ac:dyDescent="0.3">
      <c r="A1018" s="113" t="s">
        <v>68</v>
      </c>
      <c r="B1018" s="113" t="s">
        <v>17</v>
      </c>
    </row>
    <row r="1019" spans="1:2" x14ac:dyDescent="0.3">
      <c r="A1019" s="113" t="s">
        <v>68</v>
      </c>
      <c r="B1019" s="113" t="s">
        <v>17</v>
      </c>
    </row>
    <row r="1020" spans="1:2" x14ac:dyDescent="0.3">
      <c r="A1020" s="113" t="s">
        <v>68</v>
      </c>
      <c r="B1020" s="113" t="s">
        <v>17</v>
      </c>
    </row>
    <row r="1021" spans="1:2" x14ac:dyDescent="0.3">
      <c r="A1021" s="113" t="s">
        <v>68</v>
      </c>
      <c r="B1021" s="113" t="s">
        <v>17</v>
      </c>
    </row>
    <row r="1022" spans="1:2" x14ac:dyDescent="0.3">
      <c r="A1022" s="113" t="s">
        <v>68</v>
      </c>
      <c r="B1022" s="113" t="s">
        <v>17</v>
      </c>
    </row>
    <row r="1023" spans="1:2" x14ac:dyDescent="0.3">
      <c r="A1023" s="113" t="s">
        <v>68</v>
      </c>
      <c r="B1023" s="113" t="s">
        <v>17</v>
      </c>
    </row>
    <row r="1024" spans="1:2" x14ac:dyDescent="0.3">
      <c r="A1024" s="113" t="s">
        <v>68</v>
      </c>
      <c r="B1024" s="113" t="s">
        <v>17</v>
      </c>
    </row>
    <row r="1025" spans="1:2" x14ac:dyDescent="0.3">
      <c r="A1025" s="113" t="s">
        <v>72</v>
      </c>
      <c r="B1025" s="113" t="s">
        <v>17</v>
      </c>
    </row>
    <row r="1026" spans="1:2" x14ac:dyDescent="0.3">
      <c r="A1026" s="113" t="s">
        <v>72</v>
      </c>
      <c r="B1026" s="113" t="s">
        <v>17</v>
      </c>
    </row>
    <row r="1027" spans="1:2" x14ac:dyDescent="0.3">
      <c r="A1027" s="113" t="s">
        <v>72</v>
      </c>
      <c r="B1027" s="113" t="s">
        <v>17</v>
      </c>
    </row>
    <row r="1028" spans="1:2" x14ac:dyDescent="0.3">
      <c r="A1028" s="113" t="s">
        <v>72</v>
      </c>
      <c r="B1028" s="113" t="s">
        <v>17</v>
      </c>
    </row>
    <row r="1029" spans="1:2" x14ac:dyDescent="0.3">
      <c r="A1029" s="113" t="s">
        <v>72</v>
      </c>
      <c r="B1029" s="113" t="s">
        <v>17</v>
      </c>
    </row>
    <row r="1030" spans="1:2" x14ac:dyDescent="0.3">
      <c r="A1030" s="113" t="s">
        <v>72</v>
      </c>
      <c r="B1030" s="113" t="s">
        <v>17</v>
      </c>
    </row>
    <row r="1031" spans="1:2" x14ac:dyDescent="0.3">
      <c r="A1031" s="113" t="s">
        <v>72</v>
      </c>
      <c r="B1031" s="113" t="s">
        <v>17</v>
      </c>
    </row>
    <row r="1032" spans="1:2" x14ac:dyDescent="0.3">
      <c r="A1032" s="113" t="s">
        <v>72</v>
      </c>
      <c r="B1032" s="113" t="s">
        <v>17</v>
      </c>
    </row>
    <row r="1033" spans="1:2" x14ac:dyDescent="0.3">
      <c r="A1033" s="113" t="s">
        <v>72</v>
      </c>
      <c r="B1033" s="113" t="s">
        <v>17</v>
      </c>
    </row>
    <row r="1034" spans="1:2" x14ac:dyDescent="0.3">
      <c r="A1034" s="113" t="s">
        <v>72</v>
      </c>
      <c r="B1034" s="113" t="s">
        <v>17</v>
      </c>
    </row>
    <row r="1035" spans="1:2" x14ac:dyDescent="0.3">
      <c r="A1035" s="113" t="s">
        <v>72</v>
      </c>
      <c r="B1035" s="113" t="s">
        <v>17</v>
      </c>
    </row>
    <row r="1036" spans="1:2" x14ac:dyDescent="0.3">
      <c r="A1036" s="113" t="s">
        <v>72</v>
      </c>
      <c r="B1036" s="113" t="s">
        <v>17</v>
      </c>
    </row>
    <row r="1037" spans="1:2" x14ac:dyDescent="0.3">
      <c r="A1037" s="113" t="s">
        <v>72</v>
      </c>
      <c r="B1037" s="113" t="s">
        <v>17</v>
      </c>
    </row>
    <row r="1038" spans="1:2" x14ac:dyDescent="0.3">
      <c r="A1038" s="113" t="s">
        <v>72</v>
      </c>
      <c r="B1038" s="113" t="s">
        <v>17</v>
      </c>
    </row>
    <row r="1039" spans="1:2" x14ac:dyDescent="0.3">
      <c r="A1039" s="113" t="s">
        <v>72</v>
      </c>
      <c r="B1039" s="113" t="s">
        <v>17</v>
      </c>
    </row>
    <row r="1040" spans="1:2" x14ac:dyDescent="0.3">
      <c r="A1040" s="113" t="s">
        <v>72</v>
      </c>
      <c r="B1040" s="113" t="s">
        <v>17</v>
      </c>
    </row>
    <row r="1041" spans="1:2" x14ac:dyDescent="0.3">
      <c r="A1041" s="113" t="s">
        <v>73</v>
      </c>
      <c r="B1041" s="113" t="s">
        <v>17</v>
      </c>
    </row>
    <row r="1042" spans="1:2" x14ac:dyDescent="0.3">
      <c r="A1042" s="113" t="s">
        <v>73</v>
      </c>
      <c r="B1042" s="113" t="s">
        <v>17</v>
      </c>
    </row>
    <row r="1043" spans="1:2" x14ac:dyDescent="0.3">
      <c r="A1043" s="113" t="s">
        <v>73</v>
      </c>
      <c r="B1043" s="113" t="s">
        <v>17</v>
      </c>
    </row>
    <row r="1044" spans="1:2" x14ac:dyDescent="0.3">
      <c r="A1044" s="113" t="s">
        <v>73</v>
      </c>
      <c r="B1044" s="113" t="s">
        <v>17</v>
      </c>
    </row>
    <row r="1045" spans="1:2" x14ac:dyDescent="0.3">
      <c r="A1045" s="113" t="s">
        <v>73</v>
      </c>
      <c r="B1045" s="113" t="s">
        <v>17</v>
      </c>
    </row>
    <row r="1046" spans="1:2" x14ac:dyDescent="0.3">
      <c r="A1046" s="113" t="s">
        <v>73</v>
      </c>
      <c r="B1046" s="113" t="s">
        <v>17</v>
      </c>
    </row>
    <row r="1047" spans="1:2" x14ac:dyDescent="0.3">
      <c r="A1047" s="113" t="s">
        <v>73</v>
      </c>
      <c r="B1047" s="113" t="s">
        <v>17</v>
      </c>
    </row>
    <row r="1048" spans="1:2" x14ac:dyDescent="0.3">
      <c r="A1048" s="113" t="s">
        <v>73</v>
      </c>
      <c r="B1048" s="113" t="s">
        <v>17</v>
      </c>
    </row>
    <row r="1049" spans="1:2" x14ac:dyDescent="0.3">
      <c r="A1049" s="113" t="s">
        <v>73</v>
      </c>
      <c r="B1049" s="113" t="s">
        <v>17</v>
      </c>
    </row>
    <row r="1050" spans="1:2" x14ac:dyDescent="0.3">
      <c r="A1050" s="113" t="s">
        <v>73</v>
      </c>
      <c r="B1050" s="113" t="s">
        <v>17</v>
      </c>
    </row>
    <row r="1051" spans="1:2" x14ac:dyDescent="0.3">
      <c r="A1051" s="113" t="s">
        <v>73</v>
      </c>
      <c r="B1051" s="113" t="s">
        <v>17</v>
      </c>
    </row>
    <row r="1052" spans="1:2" x14ac:dyDescent="0.3">
      <c r="A1052" s="113" t="s">
        <v>73</v>
      </c>
      <c r="B1052" s="113" t="s">
        <v>17</v>
      </c>
    </row>
    <row r="1053" spans="1:2" x14ac:dyDescent="0.3">
      <c r="A1053" s="113" t="s">
        <v>73</v>
      </c>
      <c r="B1053" s="113" t="s">
        <v>17</v>
      </c>
    </row>
    <row r="1054" spans="1:2" x14ac:dyDescent="0.3">
      <c r="A1054" s="113" t="s">
        <v>73</v>
      </c>
      <c r="B1054" s="113" t="s">
        <v>17</v>
      </c>
    </row>
    <row r="1055" spans="1:2" x14ac:dyDescent="0.3">
      <c r="A1055" s="113" t="s">
        <v>73</v>
      </c>
      <c r="B1055" s="113" t="s">
        <v>17</v>
      </c>
    </row>
    <row r="1056" spans="1:2" x14ac:dyDescent="0.3">
      <c r="A1056" s="113" t="s">
        <v>73</v>
      </c>
      <c r="B1056" s="113" t="s">
        <v>17</v>
      </c>
    </row>
    <row r="1057" spans="1:2" x14ac:dyDescent="0.3">
      <c r="A1057" s="113" t="s">
        <v>73</v>
      </c>
      <c r="B1057" s="113" t="s">
        <v>17</v>
      </c>
    </row>
    <row r="1058" spans="1:2" x14ac:dyDescent="0.3">
      <c r="A1058" s="113" t="s">
        <v>73</v>
      </c>
      <c r="B1058" s="113" t="s">
        <v>17</v>
      </c>
    </row>
    <row r="1059" spans="1:2" x14ac:dyDescent="0.3">
      <c r="A1059" s="113" t="s">
        <v>73</v>
      </c>
      <c r="B1059" s="113" t="s">
        <v>17</v>
      </c>
    </row>
    <row r="1060" spans="1:2" x14ac:dyDescent="0.3">
      <c r="A1060" s="113" t="s">
        <v>73</v>
      </c>
      <c r="B1060" s="113" t="s">
        <v>17</v>
      </c>
    </row>
    <row r="1061" spans="1:2" x14ac:dyDescent="0.3">
      <c r="A1061" s="113" t="s">
        <v>73</v>
      </c>
      <c r="B1061" s="113" t="s">
        <v>17</v>
      </c>
    </row>
    <row r="1062" spans="1:2" x14ac:dyDescent="0.3">
      <c r="A1062" s="113" t="s">
        <v>73</v>
      </c>
      <c r="B1062" s="113" t="s">
        <v>17</v>
      </c>
    </row>
    <row r="1063" spans="1:2" x14ac:dyDescent="0.3">
      <c r="A1063" s="113" t="s">
        <v>73</v>
      </c>
      <c r="B1063" s="113" t="s">
        <v>17</v>
      </c>
    </row>
    <row r="1064" spans="1:2" x14ac:dyDescent="0.3">
      <c r="A1064" s="113" t="s">
        <v>73</v>
      </c>
      <c r="B1064" s="113" t="s">
        <v>17</v>
      </c>
    </row>
    <row r="1065" spans="1:2" x14ac:dyDescent="0.3">
      <c r="A1065" s="113" t="s">
        <v>73</v>
      </c>
      <c r="B1065" s="113" t="s">
        <v>17</v>
      </c>
    </row>
    <row r="1066" spans="1:2" x14ac:dyDescent="0.3">
      <c r="A1066" s="113" t="s">
        <v>73</v>
      </c>
      <c r="B1066" s="113" t="s">
        <v>17</v>
      </c>
    </row>
    <row r="1067" spans="1:2" x14ac:dyDescent="0.3">
      <c r="A1067" s="113" t="s">
        <v>73</v>
      </c>
      <c r="B1067" s="113" t="s">
        <v>17</v>
      </c>
    </row>
    <row r="1068" spans="1:2" x14ac:dyDescent="0.3">
      <c r="A1068" s="113" t="s">
        <v>73</v>
      </c>
      <c r="B1068" s="113" t="s">
        <v>17</v>
      </c>
    </row>
    <row r="1069" spans="1:2" x14ac:dyDescent="0.3">
      <c r="A1069" s="113" t="s">
        <v>73</v>
      </c>
      <c r="B1069" s="113" t="s">
        <v>17</v>
      </c>
    </row>
    <row r="1070" spans="1:2" x14ac:dyDescent="0.3">
      <c r="A1070" s="113" t="s">
        <v>73</v>
      </c>
      <c r="B1070" s="113" t="s">
        <v>17</v>
      </c>
    </row>
    <row r="1071" spans="1:2" x14ac:dyDescent="0.3">
      <c r="A1071" s="113" t="s">
        <v>73</v>
      </c>
      <c r="B1071" s="113" t="s">
        <v>17</v>
      </c>
    </row>
    <row r="1072" spans="1:2" x14ac:dyDescent="0.3">
      <c r="A1072" s="113" t="s">
        <v>73</v>
      </c>
      <c r="B1072" s="113" t="s">
        <v>17</v>
      </c>
    </row>
    <row r="1073" spans="1:2" x14ac:dyDescent="0.3">
      <c r="A1073" s="113" t="s">
        <v>73</v>
      </c>
      <c r="B1073" s="113" t="s">
        <v>17</v>
      </c>
    </row>
    <row r="1074" spans="1:2" x14ac:dyDescent="0.3">
      <c r="A1074" s="113" t="s">
        <v>73</v>
      </c>
      <c r="B1074" s="113" t="s">
        <v>17</v>
      </c>
    </row>
    <row r="1075" spans="1:2" x14ac:dyDescent="0.3">
      <c r="A1075" s="113" t="s">
        <v>73</v>
      </c>
      <c r="B1075" s="113" t="s">
        <v>17</v>
      </c>
    </row>
    <row r="1076" spans="1:2" x14ac:dyDescent="0.3">
      <c r="A1076" s="113" t="s">
        <v>73</v>
      </c>
      <c r="B1076" s="113" t="s">
        <v>17</v>
      </c>
    </row>
    <row r="1077" spans="1:2" x14ac:dyDescent="0.3">
      <c r="A1077" s="113" t="s">
        <v>73</v>
      </c>
      <c r="B1077" s="113" t="s">
        <v>17</v>
      </c>
    </row>
    <row r="1078" spans="1:2" x14ac:dyDescent="0.3">
      <c r="A1078" s="113" t="s">
        <v>73</v>
      </c>
      <c r="B1078" s="113" t="s">
        <v>17</v>
      </c>
    </row>
    <row r="1079" spans="1:2" x14ac:dyDescent="0.3">
      <c r="A1079" s="113" t="s">
        <v>73</v>
      </c>
      <c r="B1079" s="113" t="s">
        <v>17</v>
      </c>
    </row>
    <row r="1080" spans="1:2" x14ac:dyDescent="0.3">
      <c r="A1080" s="113" t="s">
        <v>73</v>
      </c>
      <c r="B1080" s="113" t="s">
        <v>17</v>
      </c>
    </row>
    <row r="1081" spans="1:2" x14ac:dyDescent="0.3">
      <c r="A1081" s="113" t="s">
        <v>73</v>
      </c>
      <c r="B1081" s="113" t="s">
        <v>17</v>
      </c>
    </row>
    <row r="1082" spans="1:2" x14ac:dyDescent="0.3">
      <c r="A1082" s="113" t="s">
        <v>73</v>
      </c>
      <c r="B1082" s="113" t="s">
        <v>17</v>
      </c>
    </row>
    <row r="1083" spans="1:2" x14ac:dyDescent="0.3">
      <c r="A1083" s="113" t="s">
        <v>73</v>
      </c>
      <c r="B1083" s="113" t="s">
        <v>17</v>
      </c>
    </row>
    <row r="1084" spans="1:2" x14ac:dyDescent="0.3">
      <c r="A1084" s="113" t="s">
        <v>73</v>
      </c>
      <c r="B1084" s="113" t="s">
        <v>17</v>
      </c>
    </row>
    <row r="1085" spans="1:2" x14ac:dyDescent="0.3">
      <c r="A1085" s="113" t="s">
        <v>73</v>
      </c>
      <c r="B1085" s="113" t="s">
        <v>17</v>
      </c>
    </row>
    <row r="1086" spans="1:2" x14ac:dyDescent="0.3">
      <c r="A1086" s="113" t="s">
        <v>73</v>
      </c>
      <c r="B1086" s="113" t="s">
        <v>17</v>
      </c>
    </row>
    <row r="1087" spans="1:2" x14ac:dyDescent="0.3">
      <c r="A1087" s="113" t="s">
        <v>73</v>
      </c>
      <c r="B1087" s="113" t="s">
        <v>17</v>
      </c>
    </row>
    <row r="1088" spans="1:2" x14ac:dyDescent="0.3">
      <c r="A1088" s="113" t="s">
        <v>73</v>
      </c>
      <c r="B1088" s="113" t="s">
        <v>17</v>
      </c>
    </row>
    <row r="1089" spans="1:2" x14ac:dyDescent="0.3">
      <c r="A1089" s="113" t="s">
        <v>73</v>
      </c>
      <c r="B1089" s="113" t="s">
        <v>17</v>
      </c>
    </row>
    <row r="1090" spans="1:2" x14ac:dyDescent="0.3">
      <c r="A1090" s="113" t="s">
        <v>73</v>
      </c>
      <c r="B1090" s="113" t="s">
        <v>17</v>
      </c>
    </row>
    <row r="1091" spans="1:2" x14ac:dyDescent="0.3">
      <c r="A1091" s="113" t="s">
        <v>73</v>
      </c>
      <c r="B1091" s="113" t="s">
        <v>17</v>
      </c>
    </row>
    <row r="1092" spans="1:2" x14ac:dyDescent="0.3">
      <c r="A1092" s="113" t="s">
        <v>73</v>
      </c>
      <c r="B1092" s="113" t="s">
        <v>17</v>
      </c>
    </row>
    <row r="1093" spans="1:2" x14ac:dyDescent="0.3">
      <c r="A1093" s="113" t="s">
        <v>73</v>
      </c>
      <c r="B1093" s="113" t="s">
        <v>17</v>
      </c>
    </row>
    <row r="1094" spans="1:2" x14ac:dyDescent="0.3">
      <c r="A1094" s="113" t="s">
        <v>73</v>
      </c>
      <c r="B1094" s="113" t="s">
        <v>17</v>
      </c>
    </row>
    <row r="1095" spans="1:2" x14ac:dyDescent="0.3">
      <c r="A1095" s="113" t="s">
        <v>73</v>
      </c>
      <c r="B1095" s="113" t="s">
        <v>17</v>
      </c>
    </row>
    <row r="1096" spans="1:2" x14ac:dyDescent="0.3">
      <c r="A1096" s="113" t="s">
        <v>73</v>
      </c>
      <c r="B1096" s="113" t="s">
        <v>17</v>
      </c>
    </row>
    <row r="1097" spans="1:2" x14ac:dyDescent="0.3">
      <c r="A1097" s="113" t="s">
        <v>73</v>
      </c>
      <c r="B1097" s="113" t="s">
        <v>17</v>
      </c>
    </row>
    <row r="1098" spans="1:2" x14ac:dyDescent="0.3">
      <c r="A1098" s="113" t="s">
        <v>73</v>
      </c>
      <c r="B1098" s="113" t="s">
        <v>17</v>
      </c>
    </row>
    <row r="1099" spans="1:2" x14ac:dyDescent="0.3">
      <c r="A1099" s="113" t="s">
        <v>73</v>
      </c>
      <c r="B1099" s="113" t="s">
        <v>17</v>
      </c>
    </row>
    <row r="1100" spans="1:2" x14ac:dyDescent="0.3">
      <c r="A1100" s="113" t="s">
        <v>73</v>
      </c>
      <c r="B1100" s="113" t="s">
        <v>17</v>
      </c>
    </row>
    <row r="1101" spans="1:2" x14ac:dyDescent="0.3">
      <c r="A1101" s="113" t="s">
        <v>73</v>
      </c>
      <c r="B1101" s="113" t="s">
        <v>17</v>
      </c>
    </row>
    <row r="1102" spans="1:2" x14ac:dyDescent="0.3">
      <c r="A1102" s="113" t="s">
        <v>73</v>
      </c>
      <c r="B1102" s="113" t="s">
        <v>17</v>
      </c>
    </row>
    <row r="1103" spans="1:2" x14ac:dyDescent="0.3">
      <c r="A1103" s="113" t="s">
        <v>73</v>
      </c>
      <c r="B1103" s="113" t="s">
        <v>17</v>
      </c>
    </row>
    <row r="1104" spans="1:2" x14ac:dyDescent="0.3">
      <c r="A1104" s="113" t="s">
        <v>73</v>
      </c>
      <c r="B1104" s="113" t="s">
        <v>17</v>
      </c>
    </row>
    <row r="1105" spans="1:2" x14ac:dyDescent="0.3">
      <c r="A1105" s="113" t="s">
        <v>73</v>
      </c>
      <c r="B1105" s="113" t="s">
        <v>17</v>
      </c>
    </row>
    <row r="1106" spans="1:2" x14ac:dyDescent="0.3">
      <c r="A1106" s="113" t="s">
        <v>74</v>
      </c>
      <c r="B1106" s="113" t="s">
        <v>17</v>
      </c>
    </row>
    <row r="1107" spans="1:2" x14ac:dyDescent="0.3">
      <c r="A1107" s="113" t="s">
        <v>74</v>
      </c>
      <c r="B1107" s="113" t="s">
        <v>17</v>
      </c>
    </row>
    <row r="1108" spans="1:2" x14ac:dyDescent="0.3">
      <c r="A1108" s="113" t="s">
        <v>74</v>
      </c>
      <c r="B1108" s="113" t="s">
        <v>17</v>
      </c>
    </row>
    <row r="1109" spans="1:2" x14ac:dyDescent="0.3">
      <c r="A1109" s="113" t="s">
        <v>74</v>
      </c>
      <c r="B1109" s="113" t="s">
        <v>17</v>
      </c>
    </row>
    <row r="1110" spans="1:2" x14ac:dyDescent="0.3">
      <c r="A1110" s="113" t="s">
        <v>74</v>
      </c>
      <c r="B1110" s="113" t="s">
        <v>17</v>
      </c>
    </row>
    <row r="1111" spans="1:2" x14ac:dyDescent="0.3">
      <c r="A1111" s="113" t="s">
        <v>74</v>
      </c>
      <c r="B1111" s="113" t="s">
        <v>17</v>
      </c>
    </row>
    <row r="1112" spans="1:2" x14ac:dyDescent="0.3">
      <c r="A1112" s="113" t="s">
        <v>74</v>
      </c>
      <c r="B1112" s="113" t="s">
        <v>17</v>
      </c>
    </row>
    <row r="1113" spans="1:2" x14ac:dyDescent="0.3">
      <c r="A1113" s="113" t="s">
        <v>74</v>
      </c>
      <c r="B1113" s="113" t="s">
        <v>17</v>
      </c>
    </row>
    <row r="1114" spans="1:2" x14ac:dyDescent="0.3">
      <c r="A1114" s="113" t="s">
        <v>74</v>
      </c>
      <c r="B1114" s="113" t="s">
        <v>17</v>
      </c>
    </row>
    <row r="1115" spans="1:2" x14ac:dyDescent="0.3">
      <c r="A1115" s="113" t="s">
        <v>74</v>
      </c>
      <c r="B1115" s="113" t="s">
        <v>17</v>
      </c>
    </row>
    <row r="1116" spans="1:2" x14ac:dyDescent="0.3">
      <c r="A1116" s="113" t="s">
        <v>74</v>
      </c>
      <c r="B1116" s="113" t="s">
        <v>17</v>
      </c>
    </row>
    <row r="1117" spans="1:2" x14ac:dyDescent="0.3">
      <c r="A1117" s="113" t="s">
        <v>74</v>
      </c>
      <c r="B1117" s="113" t="s">
        <v>17</v>
      </c>
    </row>
    <row r="1118" spans="1:2" x14ac:dyDescent="0.3">
      <c r="A1118" s="113" t="s">
        <v>74</v>
      </c>
      <c r="B1118" s="113" t="s">
        <v>17</v>
      </c>
    </row>
    <row r="1119" spans="1:2" x14ac:dyDescent="0.3">
      <c r="A1119" s="113" t="s">
        <v>74</v>
      </c>
      <c r="B1119" s="113" t="s">
        <v>17</v>
      </c>
    </row>
    <row r="1120" spans="1:2" x14ac:dyDescent="0.3">
      <c r="A1120" s="113" t="s">
        <v>74</v>
      </c>
      <c r="B1120" s="113" t="s">
        <v>17</v>
      </c>
    </row>
    <row r="1121" spans="1:2" x14ac:dyDescent="0.3">
      <c r="A1121" s="113" t="s">
        <v>74</v>
      </c>
      <c r="B1121" s="113" t="s">
        <v>17</v>
      </c>
    </row>
    <row r="1122" spans="1:2" x14ac:dyDescent="0.3">
      <c r="A1122" s="113" t="s">
        <v>74</v>
      </c>
      <c r="B1122" s="113" t="s">
        <v>17</v>
      </c>
    </row>
    <row r="1123" spans="1:2" x14ac:dyDescent="0.3">
      <c r="A1123" s="113" t="s">
        <v>74</v>
      </c>
      <c r="B1123" s="113" t="s">
        <v>17</v>
      </c>
    </row>
    <row r="1124" spans="1:2" x14ac:dyDescent="0.3">
      <c r="A1124" s="113" t="s">
        <v>74</v>
      </c>
      <c r="B1124" s="113" t="s">
        <v>17</v>
      </c>
    </row>
    <row r="1125" spans="1:2" x14ac:dyDescent="0.3">
      <c r="A1125" s="113" t="s">
        <v>74</v>
      </c>
      <c r="B1125" s="113" t="s">
        <v>17</v>
      </c>
    </row>
    <row r="1126" spans="1:2" x14ac:dyDescent="0.3">
      <c r="A1126" s="113" t="s">
        <v>74</v>
      </c>
      <c r="B1126" s="113" t="s">
        <v>17</v>
      </c>
    </row>
    <row r="1127" spans="1:2" x14ac:dyDescent="0.3">
      <c r="A1127" s="113" t="s">
        <v>74</v>
      </c>
      <c r="B1127" s="113" t="s">
        <v>17</v>
      </c>
    </row>
    <row r="1128" spans="1:2" x14ac:dyDescent="0.3">
      <c r="A1128" s="113" t="s">
        <v>74</v>
      </c>
      <c r="B1128" s="113" t="s">
        <v>17</v>
      </c>
    </row>
    <row r="1129" spans="1:2" x14ac:dyDescent="0.3">
      <c r="A1129" s="113" t="s">
        <v>74</v>
      </c>
      <c r="B1129" s="113" t="s">
        <v>17</v>
      </c>
    </row>
    <row r="1130" spans="1:2" x14ac:dyDescent="0.3">
      <c r="A1130" s="113" t="s">
        <v>74</v>
      </c>
      <c r="B1130" s="113" t="s">
        <v>17</v>
      </c>
    </row>
    <row r="1131" spans="1:2" x14ac:dyDescent="0.3">
      <c r="A1131" s="113" t="s">
        <v>74</v>
      </c>
      <c r="B1131" s="113" t="s">
        <v>17</v>
      </c>
    </row>
    <row r="1132" spans="1:2" x14ac:dyDescent="0.3">
      <c r="A1132" s="113" t="s">
        <v>74</v>
      </c>
      <c r="B1132" s="113" t="s">
        <v>17</v>
      </c>
    </row>
    <row r="1133" spans="1:2" x14ac:dyDescent="0.3">
      <c r="A1133" s="113" t="s">
        <v>74</v>
      </c>
      <c r="B1133" s="113" t="s">
        <v>17</v>
      </c>
    </row>
    <row r="1134" spans="1:2" x14ac:dyDescent="0.3">
      <c r="A1134" s="113" t="s">
        <v>74</v>
      </c>
      <c r="B1134" s="113" t="s">
        <v>17</v>
      </c>
    </row>
    <row r="1135" spans="1:2" x14ac:dyDescent="0.3">
      <c r="A1135" s="113" t="s">
        <v>74</v>
      </c>
      <c r="B1135" s="113" t="s">
        <v>17</v>
      </c>
    </row>
    <row r="1136" spans="1:2" x14ac:dyDescent="0.3">
      <c r="A1136" s="113" t="s">
        <v>74</v>
      </c>
      <c r="B1136" s="113" t="s">
        <v>17</v>
      </c>
    </row>
    <row r="1137" spans="1:2" x14ac:dyDescent="0.3">
      <c r="A1137" s="113" t="s">
        <v>74</v>
      </c>
      <c r="B1137" s="113" t="s">
        <v>17</v>
      </c>
    </row>
    <row r="1138" spans="1:2" x14ac:dyDescent="0.3">
      <c r="A1138" s="113" t="s">
        <v>74</v>
      </c>
      <c r="B1138" s="113" t="s">
        <v>17</v>
      </c>
    </row>
    <row r="1139" spans="1:2" x14ac:dyDescent="0.3">
      <c r="A1139" s="113" t="s">
        <v>63</v>
      </c>
      <c r="B1139" s="113" t="s">
        <v>29</v>
      </c>
    </row>
    <row r="1140" spans="1:2" x14ac:dyDescent="0.3">
      <c r="A1140" s="113" t="s">
        <v>63</v>
      </c>
      <c r="B1140" s="113" t="s">
        <v>29</v>
      </c>
    </row>
    <row r="1141" spans="1:2" x14ac:dyDescent="0.3">
      <c r="A1141" s="113" t="s">
        <v>63</v>
      </c>
      <c r="B1141" s="113" t="s">
        <v>29</v>
      </c>
    </row>
    <row r="1142" spans="1:2" x14ac:dyDescent="0.3">
      <c r="A1142" s="113" t="s">
        <v>63</v>
      </c>
      <c r="B1142" s="113" t="s">
        <v>29</v>
      </c>
    </row>
    <row r="1143" spans="1:2" x14ac:dyDescent="0.3">
      <c r="A1143" s="113" t="s">
        <v>102</v>
      </c>
      <c r="B1143" s="113" t="s">
        <v>17</v>
      </c>
    </row>
    <row r="1144" spans="1:2" x14ac:dyDescent="0.3">
      <c r="A1144" s="113" t="s">
        <v>76</v>
      </c>
      <c r="B1144" s="113" t="s">
        <v>17</v>
      </c>
    </row>
    <row r="1145" spans="1:2" x14ac:dyDescent="0.3">
      <c r="A1145" s="113" t="s">
        <v>76</v>
      </c>
      <c r="B1145" s="113" t="s">
        <v>17</v>
      </c>
    </row>
    <row r="1146" spans="1:2" x14ac:dyDescent="0.3">
      <c r="A1146" s="113" t="s">
        <v>76</v>
      </c>
      <c r="B1146" s="113" t="s">
        <v>17</v>
      </c>
    </row>
    <row r="1147" spans="1:2" x14ac:dyDescent="0.3">
      <c r="A1147" s="113" t="s">
        <v>76</v>
      </c>
      <c r="B1147" s="113" t="s">
        <v>17</v>
      </c>
    </row>
    <row r="1148" spans="1:2" x14ac:dyDescent="0.3">
      <c r="A1148" s="113" t="s">
        <v>76</v>
      </c>
      <c r="B1148" s="113" t="s">
        <v>17</v>
      </c>
    </row>
    <row r="1149" spans="1:2" x14ac:dyDescent="0.3">
      <c r="A1149" s="113" t="s">
        <v>76</v>
      </c>
      <c r="B1149" s="113" t="s">
        <v>17</v>
      </c>
    </row>
    <row r="1150" spans="1:2" x14ac:dyDescent="0.3">
      <c r="A1150" s="113" t="s">
        <v>76</v>
      </c>
      <c r="B1150" s="113" t="s">
        <v>17</v>
      </c>
    </row>
    <row r="1151" spans="1:2" x14ac:dyDescent="0.3">
      <c r="A1151" s="113" t="s">
        <v>76</v>
      </c>
      <c r="B1151" s="113" t="s">
        <v>17</v>
      </c>
    </row>
    <row r="1152" spans="1:2" x14ac:dyDescent="0.3">
      <c r="A1152" s="113" t="s">
        <v>76</v>
      </c>
      <c r="B1152" s="113" t="s">
        <v>17</v>
      </c>
    </row>
    <row r="1153" spans="1:2" x14ac:dyDescent="0.3">
      <c r="A1153" s="113" t="s">
        <v>76</v>
      </c>
      <c r="B1153" s="113" t="s">
        <v>17</v>
      </c>
    </row>
    <row r="1154" spans="1:2" x14ac:dyDescent="0.3">
      <c r="A1154" s="113" t="s">
        <v>76</v>
      </c>
      <c r="B1154" s="113" t="s">
        <v>17</v>
      </c>
    </row>
    <row r="1155" spans="1:2" x14ac:dyDescent="0.3">
      <c r="A1155" s="113" t="s">
        <v>76</v>
      </c>
      <c r="B1155" s="113" t="s">
        <v>17</v>
      </c>
    </row>
    <row r="1156" spans="1:2" x14ac:dyDescent="0.3">
      <c r="A1156" s="113" t="s">
        <v>76</v>
      </c>
      <c r="B1156" s="113" t="s">
        <v>17</v>
      </c>
    </row>
    <row r="1157" spans="1:2" x14ac:dyDescent="0.3">
      <c r="A1157" s="113" t="s">
        <v>76</v>
      </c>
      <c r="B1157" s="113" t="s">
        <v>17</v>
      </c>
    </row>
    <row r="1158" spans="1:2" x14ac:dyDescent="0.3">
      <c r="A1158" s="113" t="s">
        <v>76</v>
      </c>
      <c r="B1158" s="113" t="s">
        <v>17</v>
      </c>
    </row>
    <row r="1159" spans="1:2" x14ac:dyDescent="0.3">
      <c r="A1159" s="113" t="s">
        <v>76</v>
      </c>
      <c r="B1159" s="113" t="s">
        <v>17</v>
      </c>
    </row>
    <row r="1160" spans="1:2" x14ac:dyDescent="0.3">
      <c r="A1160" s="113" t="s">
        <v>76</v>
      </c>
      <c r="B1160" s="113" t="s">
        <v>17</v>
      </c>
    </row>
    <row r="1161" spans="1:2" x14ac:dyDescent="0.3">
      <c r="A1161" s="113" t="s">
        <v>77</v>
      </c>
      <c r="B1161" s="113" t="s">
        <v>17</v>
      </c>
    </row>
    <row r="1162" spans="1:2" x14ac:dyDescent="0.3">
      <c r="A1162" s="113" t="s">
        <v>77</v>
      </c>
      <c r="B1162" s="113" t="s">
        <v>17</v>
      </c>
    </row>
    <row r="1163" spans="1:2" x14ac:dyDescent="0.3">
      <c r="A1163" s="113" t="s">
        <v>77</v>
      </c>
      <c r="B1163" s="113" t="s">
        <v>17</v>
      </c>
    </row>
    <row r="1164" spans="1:2" x14ac:dyDescent="0.3">
      <c r="A1164" s="113" t="s">
        <v>77</v>
      </c>
      <c r="B1164" s="113" t="s">
        <v>17</v>
      </c>
    </row>
    <row r="1165" spans="1:2" x14ac:dyDescent="0.3">
      <c r="A1165" s="113" t="s">
        <v>77</v>
      </c>
      <c r="B1165" s="113" t="s">
        <v>17</v>
      </c>
    </row>
    <row r="1166" spans="1:2" x14ac:dyDescent="0.3">
      <c r="A1166" s="113" t="s">
        <v>77</v>
      </c>
      <c r="B1166" s="113" t="s">
        <v>17</v>
      </c>
    </row>
    <row r="1167" spans="1:2" x14ac:dyDescent="0.3">
      <c r="A1167" s="113" t="s">
        <v>77</v>
      </c>
      <c r="B1167" s="113" t="s">
        <v>17</v>
      </c>
    </row>
    <row r="1168" spans="1:2" x14ac:dyDescent="0.3">
      <c r="A1168" s="113" t="s">
        <v>77</v>
      </c>
      <c r="B1168" s="113" t="s">
        <v>17</v>
      </c>
    </row>
    <row r="1169" spans="1:2" x14ac:dyDescent="0.3">
      <c r="A1169" s="113" t="s">
        <v>77</v>
      </c>
      <c r="B1169" s="113" t="s">
        <v>17</v>
      </c>
    </row>
    <row r="1170" spans="1:2" x14ac:dyDescent="0.3">
      <c r="A1170" s="113" t="s">
        <v>77</v>
      </c>
      <c r="B1170" s="113" t="s">
        <v>17</v>
      </c>
    </row>
    <row r="1171" spans="1:2" x14ac:dyDescent="0.3">
      <c r="A1171" s="113" t="s">
        <v>77</v>
      </c>
      <c r="B1171" s="113" t="s">
        <v>17</v>
      </c>
    </row>
    <row r="1172" spans="1:2" x14ac:dyDescent="0.3">
      <c r="A1172" s="113" t="s">
        <v>77</v>
      </c>
      <c r="B1172" s="113" t="s">
        <v>17</v>
      </c>
    </row>
    <row r="1173" spans="1:2" x14ac:dyDescent="0.3">
      <c r="A1173" s="113" t="s">
        <v>77</v>
      </c>
      <c r="B1173" s="113" t="s">
        <v>17</v>
      </c>
    </row>
    <row r="1174" spans="1:2" x14ac:dyDescent="0.3">
      <c r="A1174" s="113" t="s">
        <v>77</v>
      </c>
      <c r="B1174" s="113" t="s">
        <v>17</v>
      </c>
    </row>
    <row r="1175" spans="1:2" x14ac:dyDescent="0.3">
      <c r="A1175" s="113" t="s">
        <v>77</v>
      </c>
      <c r="B1175" s="113" t="s">
        <v>17</v>
      </c>
    </row>
    <row r="1176" spans="1:2" x14ac:dyDescent="0.3">
      <c r="A1176" s="113" t="s">
        <v>77</v>
      </c>
      <c r="B1176" s="113" t="s">
        <v>17</v>
      </c>
    </row>
    <row r="1177" spans="1:2" x14ac:dyDescent="0.3">
      <c r="A1177" s="113" t="s">
        <v>77</v>
      </c>
      <c r="B1177" s="113" t="s">
        <v>17</v>
      </c>
    </row>
    <row r="1178" spans="1:2" x14ac:dyDescent="0.3">
      <c r="A1178" s="113" t="s">
        <v>77</v>
      </c>
      <c r="B1178" s="113" t="s">
        <v>17</v>
      </c>
    </row>
    <row r="1179" spans="1:2" x14ac:dyDescent="0.3">
      <c r="A1179" s="113" t="s">
        <v>77</v>
      </c>
      <c r="B1179" s="113" t="s">
        <v>17</v>
      </c>
    </row>
    <row r="1180" spans="1:2" x14ac:dyDescent="0.3">
      <c r="A1180" s="113" t="s">
        <v>77</v>
      </c>
      <c r="B1180" s="113" t="s">
        <v>17</v>
      </c>
    </row>
    <row r="1181" spans="1:2" x14ac:dyDescent="0.3">
      <c r="A1181" s="113" t="s">
        <v>77</v>
      </c>
      <c r="B1181" s="113" t="s">
        <v>17</v>
      </c>
    </row>
    <row r="1182" spans="1:2" x14ac:dyDescent="0.3">
      <c r="A1182" s="113" t="s">
        <v>77</v>
      </c>
      <c r="B1182" s="113" t="s">
        <v>17</v>
      </c>
    </row>
    <row r="1183" spans="1:2" x14ac:dyDescent="0.3">
      <c r="A1183" s="113" t="s">
        <v>77</v>
      </c>
      <c r="B1183" s="113" t="s">
        <v>17</v>
      </c>
    </row>
    <row r="1184" spans="1:2" x14ac:dyDescent="0.3">
      <c r="A1184" s="113" t="s">
        <v>77</v>
      </c>
      <c r="B1184" s="113" t="s">
        <v>17</v>
      </c>
    </row>
    <row r="1185" spans="1:2" x14ac:dyDescent="0.3">
      <c r="A1185" s="113" t="s">
        <v>77</v>
      </c>
      <c r="B1185" s="113" t="s">
        <v>17</v>
      </c>
    </row>
    <row r="1186" spans="1:2" x14ac:dyDescent="0.3">
      <c r="A1186" s="113" t="s">
        <v>77</v>
      </c>
      <c r="B1186" s="113" t="s">
        <v>17</v>
      </c>
    </row>
    <row r="1187" spans="1:2" x14ac:dyDescent="0.3">
      <c r="A1187" s="113" t="s">
        <v>77</v>
      </c>
      <c r="B1187" s="113" t="s">
        <v>17</v>
      </c>
    </row>
    <row r="1188" spans="1:2" x14ac:dyDescent="0.3">
      <c r="A1188" s="113" t="s">
        <v>77</v>
      </c>
      <c r="B1188" s="113" t="s">
        <v>17</v>
      </c>
    </row>
    <row r="1189" spans="1:2" x14ac:dyDescent="0.3">
      <c r="A1189" s="113" t="s">
        <v>77</v>
      </c>
      <c r="B1189" s="113" t="s">
        <v>17</v>
      </c>
    </row>
    <row r="1190" spans="1:2" x14ac:dyDescent="0.3">
      <c r="A1190" s="113" t="s">
        <v>77</v>
      </c>
      <c r="B1190" s="113" t="s">
        <v>17</v>
      </c>
    </row>
    <row r="1191" spans="1:2" x14ac:dyDescent="0.3">
      <c r="A1191" s="113" t="s">
        <v>77</v>
      </c>
      <c r="B1191" s="113" t="s">
        <v>17</v>
      </c>
    </row>
    <row r="1192" spans="1:2" x14ac:dyDescent="0.3">
      <c r="A1192" s="113" t="s">
        <v>77</v>
      </c>
      <c r="B1192" s="113" t="s">
        <v>17</v>
      </c>
    </row>
    <row r="1193" spans="1:2" x14ac:dyDescent="0.3">
      <c r="A1193" s="113" t="s">
        <v>103</v>
      </c>
      <c r="B1193" s="113" t="s">
        <v>17</v>
      </c>
    </row>
    <row r="1194" spans="1:2" x14ac:dyDescent="0.3">
      <c r="A1194" s="113" t="s">
        <v>96</v>
      </c>
      <c r="B1194" s="113" t="s">
        <v>115</v>
      </c>
    </row>
    <row r="1195" spans="1:2" x14ac:dyDescent="0.3">
      <c r="A1195" s="113" t="s">
        <v>78</v>
      </c>
      <c r="B1195" s="113" t="s">
        <v>17</v>
      </c>
    </row>
    <row r="1196" spans="1:2" x14ac:dyDescent="0.3">
      <c r="A1196" s="113" t="s">
        <v>78</v>
      </c>
      <c r="B1196" s="113" t="s">
        <v>17</v>
      </c>
    </row>
    <row r="1197" spans="1:2" x14ac:dyDescent="0.3">
      <c r="A1197" s="113" t="s">
        <v>78</v>
      </c>
      <c r="B1197" s="113" t="s">
        <v>17</v>
      </c>
    </row>
    <row r="1198" spans="1:2" x14ac:dyDescent="0.3">
      <c r="A1198" s="113" t="s">
        <v>78</v>
      </c>
      <c r="B1198" s="113" t="s">
        <v>17</v>
      </c>
    </row>
    <row r="1199" spans="1:2" x14ac:dyDescent="0.3">
      <c r="A1199" s="113" t="s">
        <v>78</v>
      </c>
      <c r="B1199" s="113" t="s">
        <v>17</v>
      </c>
    </row>
    <row r="1200" spans="1:2" x14ac:dyDescent="0.3">
      <c r="A1200" s="113" t="s">
        <v>78</v>
      </c>
      <c r="B1200" s="113" t="s">
        <v>17</v>
      </c>
    </row>
    <row r="1201" spans="1:2" x14ac:dyDescent="0.3">
      <c r="A1201" s="113" t="s">
        <v>78</v>
      </c>
      <c r="B1201" s="113" t="s">
        <v>17</v>
      </c>
    </row>
    <row r="1202" spans="1:2" x14ac:dyDescent="0.3">
      <c r="A1202" s="113" t="s">
        <v>44</v>
      </c>
      <c r="B1202" s="113" t="s">
        <v>115</v>
      </c>
    </row>
    <row r="1203" spans="1:2" x14ac:dyDescent="0.3">
      <c r="A1203" s="113" t="s">
        <v>44</v>
      </c>
      <c r="B1203" s="113" t="s">
        <v>115</v>
      </c>
    </row>
    <row r="1204" spans="1:2" x14ac:dyDescent="0.3">
      <c r="A1204" s="113" t="s">
        <v>44</v>
      </c>
      <c r="B1204" s="113" t="s">
        <v>115</v>
      </c>
    </row>
    <row r="1205" spans="1:2" x14ac:dyDescent="0.3">
      <c r="A1205" s="113" t="s">
        <v>44</v>
      </c>
      <c r="B1205" s="113" t="s">
        <v>115</v>
      </c>
    </row>
    <row r="1206" spans="1:2" x14ac:dyDescent="0.3">
      <c r="A1206" s="113" t="s">
        <v>44</v>
      </c>
      <c r="B1206" s="113" t="s">
        <v>115</v>
      </c>
    </row>
    <row r="1207" spans="1:2" x14ac:dyDescent="0.3">
      <c r="A1207" s="113" t="s">
        <v>44</v>
      </c>
      <c r="B1207" s="113" t="s">
        <v>115</v>
      </c>
    </row>
    <row r="1208" spans="1:2" x14ac:dyDescent="0.3">
      <c r="A1208" s="113" t="s">
        <v>44</v>
      </c>
      <c r="B1208" s="113" t="s">
        <v>115</v>
      </c>
    </row>
    <row r="1209" spans="1:2" x14ac:dyDescent="0.3">
      <c r="A1209" s="113" t="s">
        <v>44</v>
      </c>
      <c r="B1209" s="113" t="s">
        <v>115</v>
      </c>
    </row>
    <row r="1210" spans="1:2" x14ac:dyDescent="0.3">
      <c r="A1210" s="113" t="s">
        <v>44</v>
      </c>
      <c r="B1210" s="113" t="s">
        <v>115</v>
      </c>
    </row>
    <row r="1211" spans="1:2" x14ac:dyDescent="0.3">
      <c r="A1211" s="113" t="s">
        <v>44</v>
      </c>
      <c r="B1211" s="113" t="s">
        <v>115</v>
      </c>
    </row>
    <row r="1212" spans="1:2" x14ac:dyDescent="0.3">
      <c r="A1212" s="113" t="s">
        <v>44</v>
      </c>
      <c r="B1212" s="113" t="s">
        <v>115</v>
      </c>
    </row>
    <row r="1213" spans="1:2" x14ac:dyDescent="0.3">
      <c r="A1213" s="113" t="s">
        <v>44</v>
      </c>
      <c r="B1213" s="113" t="s">
        <v>115</v>
      </c>
    </row>
    <row r="1214" spans="1:2" x14ac:dyDescent="0.3">
      <c r="A1214" s="113" t="s">
        <v>44</v>
      </c>
      <c r="B1214" s="113" t="s">
        <v>115</v>
      </c>
    </row>
    <row r="1215" spans="1:2" x14ac:dyDescent="0.3">
      <c r="A1215" s="113" t="s">
        <v>44</v>
      </c>
      <c r="B1215" s="113" t="s">
        <v>115</v>
      </c>
    </row>
    <row r="1216" spans="1:2" x14ac:dyDescent="0.3">
      <c r="A1216" s="113" t="s">
        <v>44</v>
      </c>
      <c r="B1216" s="113" t="s">
        <v>115</v>
      </c>
    </row>
    <row r="1217" spans="1:2" x14ac:dyDescent="0.3">
      <c r="A1217" s="113" t="s">
        <v>44</v>
      </c>
      <c r="B1217" s="113" t="s">
        <v>115</v>
      </c>
    </row>
    <row r="1218" spans="1:2" x14ac:dyDescent="0.3">
      <c r="A1218" s="113" t="s">
        <v>44</v>
      </c>
      <c r="B1218" s="113" t="s">
        <v>115</v>
      </c>
    </row>
    <row r="1219" spans="1:2" x14ac:dyDescent="0.3">
      <c r="A1219" s="113" t="s">
        <v>44</v>
      </c>
      <c r="B1219" s="113" t="s">
        <v>115</v>
      </c>
    </row>
    <row r="1220" spans="1:2" x14ac:dyDescent="0.3">
      <c r="A1220" s="113" t="s">
        <v>44</v>
      </c>
      <c r="B1220" s="113" t="s">
        <v>115</v>
      </c>
    </row>
    <row r="1221" spans="1:2" x14ac:dyDescent="0.3">
      <c r="A1221" s="113" t="s">
        <v>44</v>
      </c>
      <c r="B1221" s="113" t="s">
        <v>115</v>
      </c>
    </row>
    <row r="1222" spans="1:2" x14ac:dyDescent="0.3">
      <c r="A1222" s="113" t="s">
        <v>44</v>
      </c>
      <c r="B1222" s="113" t="s">
        <v>115</v>
      </c>
    </row>
    <row r="1223" spans="1:2" x14ac:dyDescent="0.3">
      <c r="A1223" s="113" t="s">
        <v>44</v>
      </c>
      <c r="B1223" s="113" t="s">
        <v>115</v>
      </c>
    </row>
    <row r="1224" spans="1:2" x14ac:dyDescent="0.3">
      <c r="A1224" s="113" t="s">
        <v>44</v>
      </c>
      <c r="B1224" s="113" t="s">
        <v>115</v>
      </c>
    </row>
    <row r="1225" spans="1:2" x14ac:dyDescent="0.3">
      <c r="A1225" s="113" t="s">
        <v>44</v>
      </c>
      <c r="B1225" s="113" t="s">
        <v>115</v>
      </c>
    </row>
    <row r="1226" spans="1:2" x14ac:dyDescent="0.3">
      <c r="A1226" s="113" t="s">
        <v>44</v>
      </c>
      <c r="B1226" s="113" t="s">
        <v>115</v>
      </c>
    </row>
    <row r="1227" spans="1:2" x14ac:dyDescent="0.3">
      <c r="A1227" s="113" t="s">
        <v>44</v>
      </c>
      <c r="B1227" s="113" t="s">
        <v>115</v>
      </c>
    </row>
    <row r="1228" spans="1:2" x14ac:dyDescent="0.3">
      <c r="A1228" s="113" t="s">
        <v>44</v>
      </c>
      <c r="B1228" s="113" t="s">
        <v>115</v>
      </c>
    </row>
    <row r="1229" spans="1:2" x14ac:dyDescent="0.3">
      <c r="A1229" s="113" t="s">
        <v>44</v>
      </c>
      <c r="B1229" s="113" t="s">
        <v>115</v>
      </c>
    </row>
    <row r="1230" spans="1:2" x14ac:dyDescent="0.3">
      <c r="A1230" s="113" t="s">
        <v>44</v>
      </c>
      <c r="B1230" s="113" t="s">
        <v>115</v>
      </c>
    </row>
    <row r="1231" spans="1:2" x14ac:dyDescent="0.3">
      <c r="A1231" s="113" t="s">
        <v>44</v>
      </c>
      <c r="B1231" s="113" t="s">
        <v>115</v>
      </c>
    </row>
    <row r="1232" spans="1:2" x14ac:dyDescent="0.3">
      <c r="A1232" s="113" t="s">
        <v>44</v>
      </c>
      <c r="B1232" s="113" t="s">
        <v>115</v>
      </c>
    </row>
    <row r="1233" spans="1:2" x14ac:dyDescent="0.3">
      <c r="A1233" s="113" t="s">
        <v>44</v>
      </c>
      <c r="B1233" s="113" t="s">
        <v>115</v>
      </c>
    </row>
    <row r="1234" spans="1:2" x14ac:dyDescent="0.3">
      <c r="A1234" s="113" t="s">
        <v>44</v>
      </c>
      <c r="B1234" s="113" t="s">
        <v>115</v>
      </c>
    </row>
    <row r="1235" spans="1:2" x14ac:dyDescent="0.3">
      <c r="A1235" s="113" t="s">
        <v>44</v>
      </c>
      <c r="B1235" s="113" t="s">
        <v>115</v>
      </c>
    </row>
    <row r="1236" spans="1:2" x14ac:dyDescent="0.3">
      <c r="A1236" s="113" t="s">
        <v>44</v>
      </c>
      <c r="B1236" s="113" t="s">
        <v>115</v>
      </c>
    </row>
    <row r="1237" spans="1:2" x14ac:dyDescent="0.3">
      <c r="A1237" s="113" t="s">
        <v>44</v>
      </c>
      <c r="B1237" s="113" t="s">
        <v>115</v>
      </c>
    </row>
    <row r="1238" spans="1:2" x14ac:dyDescent="0.3">
      <c r="A1238" s="113" t="s">
        <v>44</v>
      </c>
      <c r="B1238" s="113" t="s">
        <v>115</v>
      </c>
    </row>
    <row r="1239" spans="1:2" x14ac:dyDescent="0.3">
      <c r="A1239" s="113" t="s">
        <v>44</v>
      </c>
      <c r="B1239" s="113" t="s">
        <v>115</v>
      </c>
    </row>
    <row r="1240" spans="1:2" x14ac:dyDescent="0.3">
      <c r="A1240" s="113" t="s">
        <v>44</v>
      </c>
      <c r="B1240" s="113" t="s">
        <v>115</v>
      </c>
    </row>
    <row r="1241" spans="1:2" x14ac:dyDescent="0.3">
      <c r="A1241" s="113" t="s">
        <v>44</v>
      </c>
      <c r="B1241" s="113" t="s">
        <v>115</v>
      </c>
    </row>
    <row r="1242" spans="1:2" x14ac:dyDescent="0.3">
      <c r="A1242" s="113" t="s">
        <v>44</v>
      </c>
      <c r="B1242" s="113" t="s">
        <v>115</v>
      </c>
    </row>
    <row r="1243" spans="1:2" x14ac:dyDescent="0.3">
      <c r="A1243" s="113" t="s">
        <v>44</v>
      </c>
      <c r="B1243" s="113" t="s">
        <v>115</v>
      </c>
    </row>
    <row r="1244" spans="1:2" x14ac:dyDescent="0.3">
      <c r="A1244" s="113" t="s">
        <v>44</v>
      </c>
      <c r="B1244" s="113" t="s">
        <v>115</v>
      </c>
    </row>
    <row r="1245" spans="1:2" x14ac:dyDescent="0.3">
      <c r="A1245" s="113" t="s">
        <v>44</v>
      </c>
      <c r="B1245" s="113" t="s">
        <v>115</v>
      </c>
    </row>
    <row r="1246" spans="1:2" x14ac:dyDescent="0.3">
      <c r="A1246" s="113" t="s">
        <v>44</v>
      </c>
      <c r="B1246" s="113" t="s">
        <v>115</v>
      </c>
    </row>
    <row r="1247" spans="1:2" x14ac:dyDescent="0.3">
      <c r="A1247" s="113" t="s">
        <v>44</v>
      </c>
      <c r="B1247" s="113" t="s">
        <v>115</v>
      </c>
    </row>
    <row r="1248" spans="1:2" x14ac:dyDescent="0.3">
      <c r="A1248" s="113" t="s">
        <v>44</v>
      </c>
      <c r="B1248" s="113" t="s">
        <v>115</v>
      </c>
    </row>
    <row r="1249" spans="1:2" x14ac:dyDescent="0.3">
      <c r="A1249" s="113" t="s">
        <v>44</v>
      </c>
      <c r="B1249" s="113" t="s">
        <v>115</v>
      </c>
    </row>
    <row r="1250" spans="1:2" x14ac:dyDescent="0.3">
      <c r="A1250" s="113" t="s">
        <v>44</v>
      </c>
      <c r="B1250" s="113" t="s">
        <v>115</v>
      </c>
    </row>
    <row r="1251" spans="1:2" x14ac:dyDescent="0.3">
      <c r="A1251" s="113" t="s">
        <v>44</v>
      </c>
      <c r="B1251" s="113" t="s">
        <v>115</v>
      </c>
    </row>
    <row r="1252" spans="1:2" x14ac:dyDescent="0.3">
      <c r="A1252" s="113" t="s">
        <v>44</v>
      </c>
      <c r="B1252" s="113" t="s">
        <v>115</v>
      </c>
    </row>
    <row r="1253" spans="1:2" x14ac:dyDescent="0.3">
      <c r="A1253" s="113" t="s">
        <v>44</v>
      </c>
      <c r="B1253" s="113" t="s">
        <v>115</v>
      </c>
    </row>
    <row r="1254" spans="1:2" x14ac:dyDescent="0.3">
      <c r="A1254" s="113" t="s">
        <v>44</v>
      </c>
      <c r="B1254" s="113" t="s">
        <v>115</v>
      </c>
    </row>
    <row r="1255" spans="1:2" x14ac:dyDescent="0.3">
      <c r="A1255" s="113" t="s">
        <v>44</v>
      </c>
      <c r="B1255" s="113" t="s">
        <v>115</v>
      </c>
    </row>
    <row r="1256" spans="1:2" x14ac:dyDescent="0.3">
      <c r="A1256" s="113" t="s">
        <v>44</v>
      </c>
      <c r="B1256" s="113" t="s">
        <v>115</v>
      </c>
    </row>
    <row r="1257" spans="1:2" x14ac:dyDescent="0.3">
      <c r="A1257" s="113" t="s">
        <v>44</v>
      </c>
      <c r="B1257" s="113" t="s">
        <v>115</v>
      </c>
    </row>
    <row r="1258" spans="1:2" x14ac:dyDescent="0.3">
      <c r="A1258" s="113" t="s">
        <v>44</v>
      </c>
      <c r="B1258" s="113" t="s">
        <v>115</v>
      </c>
    </row>
    <row r="1259" spans="1:2" x14ac:dyDescent="0.3">
      <c r="A1259" s="113" t="s">
        <v>44</v>
      </c>
      <c r="B1259" s="113" t="s">
        <v>115</v>
      </c>
    </row>
    <row r="1260" spans="1:2" x14ac:dyDescent="0.3">
      <c r="A1260" s="113" t="s">
        <v>44</v>
      </c>
      <c r="B1260" s="113" t="s">
        <v>115</v>
      </c>
    </row>
    <row r="1261" spans="1:2" x14ac:dyDescent="0.3">
      <c r="A1261" s="113" t="s">
        <v>44</v>
      </c>
      <c r="B1261" s="113" t="s">
        <v>115</v>
      </c>
    </row>
    <row r="1262" spans="1:2" x14ac:dyDescent="0.3">
      <c r="A1262" s="113" t="s">
        <v>44</v>
      </c>
      <c r="B1262" s="113" t="s">
        <v>115</v>
      </c>
    </row>
    <row r="1263" spans="1:2" x14ac:dyDescent="0.3">
      <c r="A1263" s="113" t="s">
        <v>44</v>
      </c>
      <c r="B1263" s="113" t="s">
        <v>115</v>
      </c>
    </row>
    <row r="1264" spans="1:2" x14ac:dyDescent="0.3">
      <c r="A1264" s="113" t="s">
        <v>44</v>
      </c>
      <c r="B1264" s="113" t="s">
        <v>115</v>
      </c>
    </row>
    <row r="1265" spans="1:2" x14ac:dyDescent="0.3">
      <c r="A1265" s="113" t="s">
        <v>44</v>
      </c>
      <c r="B1265" s="113" t="s">
        <v>115</v>
      </c>
    </row>
    <row r="1266" spans="1:2" x14ac:dyDescent="0.3">
      <c r="A1266" s="113" t="s">
        <v>44</v>
      </c>
      <c r="B1266" s="113" t="s">
        <v>115</v>
      </c>
    </row>
    <row r="1267" spans="1:2" x14ac:dyDescent="0.3">
      <c r="A1267" s="113" t="s">
        <v>81</v>
      </c>
      <c r="B1267" s="113" t="s">
        <v>126</v>
      </c>
    </row>
    <row r="1268" spans="1:2" x14ac:dyDescent="0.3">
      <c r="A1268" s="113" t="s">
        <v>81</v>
      </c>
      <c r="B1268" s="113" t="s">
        <v>126</v>
      </c>
    </row>
    <row r="1269" spans="1:2" x14ac:dyDescent="0.3">
      <c r="A1269" s="113" t="s">
        <v>81</v>
      </c>
      <c r="B1269" s="113" t="s">
        <v>126</v>
      </c>
    </row>
    <row r="1270" spans="1:2" x14ac:dyDescent="0.3">
      <c r="A1270" s="113" t="s">
        <v>81</v>
      </c>
      <c r="B1270" s="113" t="s">
        <v>126</v>
      </c>
    </row>
    <row r="1271" spans="1:2" x14ac:dyDescent="0.3">
      <c r="A1271" s="113" t="s">
        <v>81</v>
      </c>
      <c r="B1271" s="113" t="s">
        <v>126</v>
      </c>
    </row>
    <row r="1272" spans="1:2" x14ac:dyDescent="0.3">
      <c r="A1272" s="113" t="s">
        <v>81</v>
      </c>
      <c r="B1272" s="113" t="s">
        <v>126</v>
      </c>
    </row>
    <row r="1273" spans="1:2" x14ac:dyDescent="0.3">
      <c r="A1273" s="113" t="s">
        <v>81</v>
      </c>
      <c r="B1273" s="113" t="s">
        <v>126</v>
      </c>
    </row>
    <row r="1274" spans="1:2" x14ac:dyDescent="0.3">
      <c r="A1274" s="113" t="s">
        <v>81</v>
      </c>
      <c r="B1274" s="113" t="s">
        <v>126</v>
      </c>
    </row>
    <row r="1275" spans="1:2" x14ac:dyDescent="0.3">
      <c r="A1275" s="113" t="s">
        <v>81</v>
      </c>
      <c r="B1275" s="113" t="s">
        <v>126</v>
      </c>
    </row>
    <row r="1276" spans="1:2" x14ac:dyDescent="0.3">
      <c r="A1276" s="113" t="s">
        <v>75</v>
      </c>
      <c r="B1276" s="113" t="s">
        <v>34</v>
      </c>
    </row>
    <row r="1277" spans="1:2" x14ac:dyDescent="0.3">
      <c r="A1277" s="113" t="s">
        <v>75</v>
      </c>
      <c r="B1277" s="113" t="s">
        <v>34</v>
      </c>
    </row>
    <row r="1278" spans="1:2" x14ac:dyDescent="0.3">
      <c r="A1278" s="113" t="s">
        <v>80</v>
      </c>
      <c r="B1278" s="113" t="s">
        <v>17</v>
      </c>
    </row>
    <row r="1279" spans="1:2" x14ac:dyDescent="0.3">
      <c r="A1279" s="113" t="s">
        <v>80</v>
      </c>
      <c r="B1279" s="113" t="s">
        <v>17</v>
      </c>
    </row>
    <row r="1280" spans="1:2" x14ac:dyDescent="0.3">
      <c r="A1280" s="113" t="s">
        <v>80</v>
      </c>
      <c r="B1280" s="113" t="s">
        <v>17</v>
      </c>
    </row>
    <row r="1281" spans="1:2" x14ac:dyDescent="0.3">
      <c r="A1281" s="113" t="s">
        <v>80</v>
      </c>
      <c r="B1281" s="113" t="s">
        <v>17</v>
      </c>
    </row>
    <row r="1282" spans="1:2" x14ac:dyDescent="0.3">
      <c r="A1282" s="113" t="s">
        <v>80</v>
      </c>
      <c r="B1282" s="113" t="s">
        <v>17</v>
      </c>
    </row>
    <row r="1283" spans="1:2" x14ac:dyDescent="0.3">
      <c r="A1283" s="113" t="s">
        <v>80</v>
      </c>
      <c r="B1283" s="113" t="s">
        <v>17</v>
      </c>
    </row>
    <row r="1284" spans="1:2" x14ac:dyDescent="0.3">
      <c r="A1284" s="113" t="s">
        <v>80</v>
      </c>
      <c r="B1284" s="113" t="s">
        <v>17</v>
      </c>
    </row>
    <row r="1285" spans="1:2" x14ac:dyDescent="0.3">
      <c r="A1285" s="113" t="s">
        <v>42</v>
      </c>
      <c r="B1285" s="113" t="s">
        <v>121</v>
      </c>
    </row>
    <row r="1286" spans="1:2" x14ac:dyDescent="0.3">
      <c r="A1286" s="113" t="s">
        <v>42</v>
      </c>
      <c r="B1286" s="113" t="s">
        <v>121</v>
      </c>
    </row>
    <row r="1287" spans="1:2" x14ac:dyDescent="0.3">
      <c r="A1287" s="113" t="s">
        <v>42</v>
      </c>
      <c r="B1287" s="113" t="s">
        <v>121</v>
      </c>
    </row>
    <row r="1288" spans="1:2" x14ac:dyDescent="0.3">
      <c r="A1288" s="113" t="s">
        <v>42</v>
      </c>
      <c r="B1288" s="113" t="s">
        <v>121</v>
      </c>
    </row>
    <row r="1289" spans="1:2" x14ac:dyDescent="0.3">
      <c r="A1289" s="113" t="s">
        <v>42</v>
      </c>
      <c r="B1289" s="113" t="s">
        <v>121</v>
      </c>
    </row>
    <row r="1290" spans="1:2" x14ac:dyDescent="0.3">
      <c r="A1290" s="113" t="s">
        <v>42</v>
      </c>
      <c r="B1290" s="113" t="s">
        <v>121</v>
      </c>
    </row>
    <row r="1291" spans="1:2" x14ac:dyDescent="0.3">
      <c r="A1291" s="113" t="s">
        <v>42</v>
      </c>
      <c r="B1291" s="113" t="s">
        <v>121</v>
      </c>
    </row>
    <row r="1292" spans="1:2" x14ac:dyDescent="0.3">
      <c r="A1292" s="113" t="s">
        <v>70</v>
      </c>
      <c r="B1292" s="113" t="s">
        <v>34</v>
      </c>
    </row>
    <row r="1293" spans="1:2" x14ac:dyDescent="0.3">
      <c r="A1293" s="113" t="s">
        <v>70</v>
      </c>
      <c r="B1293" s="113" t="s">
        <v>34</v>
      </c>
    </row>
    <row r="1294" spans="1:2" x14ac:dyDescent="0.3">
      <c r="A1294" s="113" t="s">
        <v>70</v>
      </c>
      <c r="B1294" s="113" t="s">
        <v>34</v>
      </c>
    </row>
    <row r="1295" spans="1:2" x14ac:dyDescent="0.3">
      <c r="A1295" s="113" t="s">
        <v>70</v>
      </c>
      <c r="B1295" s="113" t="s">
        <v>34</v>
      </c>
    </row>
    <row r="1296" spans="1:2" x14ac:dyDescent="0.3">
      <c r="A1296" s="113" t="s">
        <v>70</v>
      </c>
      <c r="B1296" s="113" t="s">
        <v>34</v>
      </c>
    </row>
    <row r="1297" spans="1:2" x14ac:dyDescent="0.3">
      <c r="A1297" s="113" t="s">
        <v>70</v>
      </c>
      <c r="B1297" s="113" t="s">
        <v>34</v>
      </c>
    </row>
    <row r="1298" spans="1:2" x14ac:dyDescent="0.3">
      <c r="A1298" s="113" t="s">
        <v>70</v>
      </c>
      <c r="B1298" s="113" t="s">
        <v>34</v>
      </c>
    </row>
    <row r="1299" spans="1:2" x14ac:dyDescent="0.3">
      <c r="A1299" s="113" t="s">
        <v>70</v>
      </c>
      <c r="B1299" s="113" t="s">
        <v>34</v>
      </c>
    </row>
    <row r="1300" spans="1:2" x14ac:dyDescent="0.3">
      <c r="A1300" s="113" t="s">
        <v>70</v>
      </c>
      <c r="B1300" s="113" t="s">
        <v>34</v>
      </c>
    </row>
    <row r="1301" spans="1:2" x14ac:dyDescent="0.3">
      <c r="A1301" s="113" t="s">
        <v>70</v>
      </c>
      <c r="B1301" s="113" t="s">
        <v>34</v>
      </c>
    </row>
    <row r="1302" spans="1:2" x14ac:dyDescent="0.3">
      <c r="A1302" s="113" t="s">
        <v>82</v>
      </c>
      <c r="B1302" s="113" t="s">
        <v>17</v>
      </c>
    </row>
    <row r="1303" spans="1:2" x14ac:dyDescent="0.3">
      <c r="A1303" s="113" t="s">
        <v>82</v>
      </c>
      <c r="B1303" s="113" t="s">
        <v>17</v>
      </c>
    </row>
    <row r="1304" spans="1:2" x14ac:dyDescent="0.3">
      <c r="A1304" s="113" t="s">
        <v>82</v>
      </c>
      <c r="B1304" s="113" t="s">
        <v>17</v>
      </c>
    </row>
    <row r="1305" spans="1:2" x14ac:dyDescent="0.3">
      <c r="A1305" s="113" t="s">
        <v>82</v>
      </c>
      <c r="B1305" s="113" t="s">
        <v>17</v>
      </c>
    </row>
    <row r="1306" spans="1:2" x14ac:dyDescent="0.3">
      <c r="A1306" s="113" t="s">
        <v>82</v>
      </c>
      <c r="B1306" s="113" t="s">
        <v>17</v>
      </c>
    </row>
    <row r="1307" spans="1:2" x14ac:dyDescent="0.3">
      <c r="A1307" s="113" t="s">
        <v>82</v>
      </c>
      <c r="B1307" s="113" t="s">
        <v>17</v>
      </c>
    </row>
    <row r="1308" spans="1:2" x14ac:dyDescent="0.3">
      <c r="A1308" s="113" t="s">
        <v>82</v>
      </c>
      <c r="B1308" s="113" t="s">
        <v>17</v>
      </c>
    </row>
    <row r="1309" spans="1:2" x14ac:dyDescent="0.3">
      <c r="A1309" s="113" t="s">
        <v>82</v>
      </c>
      <c r="B1309" s="113" t="s">
        <v>17</v>
      </c>
    </row>
    <row r="1310" spans="1:2" x14ac:dyDescent="0.3">
      <c r="A1310" s="113" t="s">
        <v>82</v>
      </c>
      <c r="B1310" s="113" t="s">
        <v>17</v>
      </c>
    </row>
    <row r="1311" spans="1:2" x14ac:dyDescent="0.3">
      <c r="A1311" s="113" t="s">
        <v>82</v>
      </c>
      <c r="B1311" s="113" t="s">
        <v>17</v>
      </c>
    </row>
    <row r="1312" spans="1:2" x14ac:dyDescent="0.3">
      <c r="A1312" s="113" t="s">
        <v>82</v>
      </c>
      <c r="B1312" s="113" t="s">
        <v>17</v>
      </c>
    </row>
    <row r="1313" spans="1:2" x14ac:dyDescent="0.3">
      <c r="A1313" s="113" t="s">
        <v>82</v>
      </c>
      <c r="B1313" s="113" t="s">
        <v>17</v>
      </c>
    </row>
    <row r="1314" spans="1:2" x14ac:dyDescent="0.3">
      <c r="A1314" s="113" t="s">
        <v>82</v>
      </c>
      <c r="B1314" s="113" t="s">
        <v>17</v>
      </c>
    </row>
    <row r="1315" spans="1:2" x14ac:dyDescent="0.3">
      <c r="A1315" s="113" t="s">
        <v>82</v>
      </c>
      <c r="B1315" s="113" t="s">
        <v>17</v>
      </c>
    </row>
    <row r="1316" spans="1:2" x14ac:dyDescent="0.3">
      <c r="A1316" s="113" t="s">
        <v>82</v>
      </c>
      <c r="B1316" s="113" t="s">
        <v>17</v>
      </c>
    </row>
    <row r="1317" spans="1:2" x14ac:dyDescent="0.3">
      <c r="A1317" s="113" t="s">
        <v>84</v>
      </c>
      <c r="B1317" s="113" t="s">
        <v>17</v>
      </c>
    </row>
    <row r="1318" spans="1:2" x14ac:dyDescent="0.3">
      <c r="A1318" s="113" t="s">
        <v>84</v>
      </c>
      <c r="B1318" s="113" t="s">
        <v>17</v>
      </c>
    </row>
    <row r="1319" spans="1:2" x14ac:dyDescent="0.3">
      <c r="A1319" s="113" t="s">
        <v>84</v>
      </c>
      <c r="B1319" s="113" t="s">
        <v>17</v>
      </c>
    </row>
    <row r="1320" spans="1:2" x14ac:dyDescent="0.3">
      <c r="A1320" s="113" t="s">
        <v>84</v>
      </c>
      <c r="B1320" s="113" t="s">
        <v>17</v>
      </c>
    </row>
    <row r="1321" spans="1:2" x14ac:dyDescent="0.3">
      <c r="A1321" s="113" t="s">
        <v>84</v>
      </c>
      <c r="B1321" s="113" t="s">
        <v>17</v>
      </c>
    </row>
    <row r="1322" spans="1:2" x14ac:dyDescent="0.3">
      <c r="A1322" s="113" t="s">
        <v>84</v>
      </c>
      <c r="B1322" s="113" t="s">
        <v>17</v>
      </c>
    </row>
    <row r="1323" spans="1:2" x14ac:dyDescent="0.3">
      <c r="A1323" s="113" t="s">
        <v>84</v>
      </c>
      <c r="B1323" s="113" t="s">
        <v>17</v>
      </c>
    </row>
    <row r="1324" spans="1:2" x14ac:dyDescent="0.3">
      <c r="A1324" s="113" t="s">
        <v>84</v>
      </c>
      <c r="B1324" s="113" t="s">
        <v>17</v>
      </c>
    </row>
    <row r="1325" spans="1:2" x14ac:dyDescent="0.3">
      <c r="A1325" s="113" t="s">
        <v>84</v>
      </c>
      <c r="B1325" s="113" t="s">
        <v>17</v>
      </c>
    </row>
    <row r="1326" spans="1:2" x14ac:dyDescent="0.3">
      <c r="A1326" s="113" t="s">
        <v>84</v>
      </c>
      <c r="B1326" s="113" t="s">
        <v>17</v>
      </c>
    </row>
    <row r="1327" spans="1:2" x14ac:dyDescent="0.3">
      <c r="A1327" s="113" t="s">
        <v>84</v>
      </c>
      <c r="B1327" s="113" t="s">
        <v>17</v>
      </c>
    </row>
    <row r="1328" spans="1:2" x14ac:dyDescent="0.3">
      <c r="A1328" s="113" t="s">
        <v>84</v>
      </c>
      <c r="B1328" s="113" t="s">
        <v>17</v>
      </c>
    </row>
    <row r="1329" spans="1:2" x14ac:dyDescent="0.3">
      <c r="A1329" s="113" t="s">
        <v>84</v>
      </c>
      <c r="B1329" s="113" t="s">
        <v>17</v>
      </c>
    </row>
    <row r="1330" spans="1:2" x14ac:dyDescent="0.3">
      <c r="A1330" s="113" t="s">
        <v>84</v>
      </c>
      <c r="B1330" s="113" t="s">
        <v>17</v>
      </c>
    </row>
    <row r="1331" spans="1:2" x14ac:dyDescent="0.3">
      <c r="A1331" s="113" t="s">
        <v>84</v>
      </c>
      <c r="B1331" s="113" t="s">
        <v>17</v>
      </c>
    </row>
    <row r="1332" spans="1:2" x14ac:dyDescent="0.3">
      <c r="A1332" s="113" t="s">
        <v>84</v>
      </c>
      <c r="B1332" s="113" t="s">
        <v>17</v>
      </c>
    </row>
    <row r="1333" spans="1:2" x14ac:dyDescent="0.3">
      <c r="A1333" s="113" t="s">
        <v>84</v>
      </c>
      <c r="B1333" s="113" t="s">
        <v>17</v>
      </c>
    </row>
    <row r="1334" spans="1:2" x14ac:dyDescent="0.3">
      <c r="A1334" s="113" t="s">
        <v>84</v>
      </c>
      <c r="B1334" s="113" t="s">
        <v>17</v>
      </c>
    </row>
    <row r="1335" spans="1:2" x14ac:dyDescent="0.3">
      <c r="A1335" s="113" t="s">
        <v>84</v>
      </c>
      <c r="B1335" s="113" t="s">
        <v>17</v>
      </c>
    </row>
    <row r="1336" spans="1:2" x14ac:dyDescent="0.3">
      <c r="A1336" s="113" t="s">
        <v>84</v>
      </c>
      <c r="B1336" s="113" t="s">
        <v>17</v>
      </c>
    </row>
    <row r="1337" spans="1:2" x14ac:dyDescent="0.3">
      <c r="A1337" s="113" t="s">
        <v>84</v>
      </c>
      <c r="B1337" s="113" t="s">
        <v>17</v>
      </c>
    </row>
    <row r="1338" spans="1:2" x14ac:dyDescent="0.3">
      <c r="A1338" s="113" t="s">
        <v>84</v>
      </c>
      <c r="B1338" s="113" t="s">
        <v>17</v>
      </c>
    </row>
    <row r="1339" spans="1:2" x14ac:dyDescent="0.3">
      <c r="A1339" s="113" t="s">
        <v>84</v>
      </c>
      <c r="B1339" s="113" t="s">
        <v>17</v>
      </c>
    </row>
    <row r="1340" spans="1:2" x14ac:dyDescent="0.3">
      <c r="A1340" s="113" t="s">
        <v>84</v>
      </c>
      <c r="B1340" s="113" t="s">
        <v>17</v>
      </c>
    </row>
    <row r="1341" spans="1:2" x14ac:dyDescent="0.3">
      <c r="A1341" s="113" t="s">
        <v>84</v>
      </c>
      <c r="B1341" s="113" t="s">
        <v>17</v>
      </c>
    </row>
    <row r="1342" spans="1:2" x14ac:dyDescent="0.3">
      <c r="A1342" s="113" t="s">
        <v>84</v>
      </c>
      <c r="B1342" s="113" t="s">
        <v>17</v>
      </c>
    </row>
    <row r="1343" spans="1:2" x14ac:dyDescent="0.3">
      <c r="A1343" s="113" t="s">
        <v>84</v>
      </c>
      <c r="B1343" s="113" t="s">
        <v>17</v>
      </c>
    </row>
    <row r="1344" spans="1:2" x14ac:dyDescent="0.3">
      <c r="A1344" s="113" t="s">
        <v>84</v>
      </c>
      <c r="B1344" s="113" t="s">
        <v>17</v>
      </c>
    </row>
    <row r="1345" spans="1:2" x14ac:dyDescent="0.3">
      <c r="A1345" s="113" t="s">
        <v>84</v>
      </c>
      <c r="B1345" s="113" t="s">
        <v>17</v>
      </c>
    </row>
    <row r="1346" spans="1:2" x14ac:dyDescent="0.3">
      <c r="A1346" s="113" t="s">
        <v>39</v>
      </c>
      <c r="B1346" s="113" t="s">
        <v>29</v>
      </c>
    </row>
    <row r="1347" spans="1:2" x14ac:dyDescent="0.3">
      <c r="A1347" s="113" t="s">
        <v>39</v>
      </c>
      <c r="B1347" s="113" t="s">
        <v>29</v>
      </c>
    </row>
    <row r="1348" spans="1:2" x14ac:dyDescent="0.3">
      <c r="A1348" s="113" t="s">
        <v>39</v>
      </c>
      <c r="B1348" s="113" t="s">
        <v>29</v>
      </c>
    </row>
    <row r="1349" spans="1:2" x14ac:dyDescent="0.3">
      <c r="A1349" s="113" t="s">
        <v>39</v>
      </c>
      <c r="B1349" s="113" t="s">
        <v>29</v>
      </c>
    </row>
    <row r="1350" spans="1:2" x14ac:dyDescent="0.3">
      <c r="A1350" s="113" t="s">
        <v>39</v>
      </c>
      <c r="B1350" s="113" t="s">
        <v>29</v>
      </c>
    </row>
    <row r="1351" spans="1:2" x14ac:dyDescent="0.3">
      <c r="A1351" s="113" t="s">
        <v>39</v>
      </c>
      <c r="B1351" s="113" t="s">
        <v>29</v>
      </c>
    </row>
    <row r="1352" spans="1:2" x14ac:dyDescent="0.3">
      <c r="A1352" s="113" t="s">
        <v>39</v>
      </c>
      <c r="B1352" s="113" t="s">
        <v>29</v>
      </c>
    </row>
    <row r="1353" spans="1:2" x14ac:dyDescent="0.3">
      <c r="A1353" s="113" t="s">
        <v>39</v>
      </c>
      <c r="B1353" s="113" t="s">
        <v>29</v>
      </c>
    </row>
    <row r="1354" spans="1:2" x14ac:dyDescent="0.3">
      <c r="A1354" s="113" t="s">
        <v>39</v>
      </c>
      <c r="B1354" s="113" t="s">
        <v>29</v>
      </c>
    </row>
    <row r="1355" spans="1:2" x14ac:dyDescent="0.3">
      <c r="A1355" s="113" t="s">
        <v>39</v>
      </c>
      <c r="B1355" s="113" t="s">
        <v>29</v>
      </c>
    </row>
    <row r="1356" spans="1:2" x14ac:dyDescent="0.3">
      <c r="A1356" s="113" t="s">
        <v>39</v>
      </c>
      <c r="B1356" s="113" t="s">
        <v>29</v>
      </c>
    </row>
    <row r="1357" spans="1:2" x14ac:dyDescent="0.3">
      <c r="A1357" s="113" t="s">
        <v>39</v>
      </c>
      <c r="B1357" s="113" t="s">
        <v>29</v>
      </c>
    </row>
    <row r="1358" spans="1:2" x14ac:dyDescent="0.3">
      <c r="A1358" s="113" t="s">
        <v>39</v>
      </c>
      <c r="B1358" s="113" t="s">
        <v>29</v>
      </c>
    </row>
    <row r="1359" spans="1:2" x14ac:dyDescent="0.3">
      <c r="A1359" s="113" t="s">
        <v>39</v>
      </c>
      <c r="B1359" s="113" t="s">
        <v>29</v>
      </c>
    </row>
    <row r="1360" spans="1:2" x14ac:dyDescent="0.3">
      <c r="A1360" s="113" t="s">
        <v>39</v>
      </c>
      <c r="B1360" s="113" t="s">
        <v>29</v>
      </c>
    </row>
    <row r="1361" spans="1:2" x14ac:dyDescent="0.3">
      <c r="A1361" s="113" t="s">
        <v>39</v>
      </c>
      <c r="B1361" s="113" t="s">
        <v>29</v>
      </c>
    </row>
    <row r="1362" spans="1:2" x14ac:dyDescent="0.3">
      <c r="A1362" s="113" t="s">
        <v>39</v>
      </c>
      <c r="B1362" s="113" t="s">
        <v>29</v>
      </c>
    </row>
    <row r="1363" spans="1:2" x14ac:dyDescent="0.3">
      <c r="A1363" s="113" t="s">
        <v>39</v>
      </c>
      <c r="B1363" s="113" t="s">
        <v>29</v>
      </c>
    </row>
    <row r="1364" spans="1:2" x14ac:dyDescent="0.3">
      <c r="A1364" s="113" t="s">
        <v>39</v>
      </c>
      <c r="B1364" s="113" t="s">
        <v>29</v>
      </c>
    </row>
    <row r="1365" spans="1:2" x14ac:dyDescent="0.3">
      <c r="A1365" s="113" t="s">
        <v>39</v>
      </c>
      <c r="B1365" s="113" t="s">
        <v>29</v>
      </c>
    </row>
    <row r="1366" spans="1:2" x14ac:dyDescent="0.3">
      <c r="A1366" s="113" t="s">
        <v>39</v>
      </c>
      <c r="B1366" s="113" t="s">
        <v>29</v>
      </c>
    </row>
    <row r="1367" spans="1:2" x14ac:dyDescent="0.3">
      <c r="A1367" s="113" t="s">
        <v>39</v>
      </c>
      <c r="B1367" s="113" t="s">
        <v>29</v>
      </c>
    </row>
    <row r="1368" spans="1:2" x14ac:dyDescent="0.3">
      <c r="A1368" s="113" t="s">
        <v>39</v>
      </c>
      <c r="B1368" s="113" t="s">
        <v>29</v>
      </c>
    </row>
    <row r="1369" spans="1:2" x14ac:dyDescent="0.3">
      <c r="A1369" s="113" t="s">
        <v>39</v>
      </c>
      <c r="B1369" s="113" t="s">
        <v>29</v>
      </c>
    </row>
    <row r="1370" spans="1:2" x14ac:dyDescent="0.3">
      <c r="A1370" s="113" t="s">
        <v>39</v>
      </c>
      <c r="B1370" s="113" t="s">
        <v>29</v>
      </c>
    </row>
    <row r="1371" spans="1:2" x14ac:dyDescent="0.3">
      <c r="A1371" s="113" t="s">
        <v>39</v>
      </c>
      <c r="B1371" s="113" t="s">
        <v>29</v>
      </c>
    </row>
    <row r="1372" spans="1:2" x14ac:dyDescent="0.3">
      <c r="A1372" s="113" t="s">
        <v>39</v>
      </c>
      <c r="B1372" s="113" t="s">
        <v>29</v>
      </c>
    </row>
    <row r="1373" spans="1:2" x14ac:dyDescent="0.3">
      <c r="A1373" s="113" t="s">
        <v>39</v>
      </c>
      <c r="B1373" s="113" t="s">
        <v>29</v>
      </c>
    </row>
    <row r="1374" spans="1:2" x14ac:dyDescent="0.3">
      <c r="A1374" s="113" t="s">
        <v>39</v>
      </c>
      <c r="B1374" s="113" t="s">
        <v>29</v>
      </c>
    </row>
    <row r="1375" spans="1:2" x14ac:dyDescent="0.3">
      <c r="A1375" s="113" t="s">
        <v>39</v>
      </c>
      <c r="B1375" s="113" t="s">
        <v>29</v>
      </c>
    </row>
    <row r="1376" spans="1:2" x14ac:dyDescent="0.3">
      <c r="A1376" s="113" t="s">
        <v>39</v>
      </c>
      <c r="B1376" s="113" t="s">
        <v>29</v>
      </c>
    </row>
    <row r="1377" spans="1:2" x14ac:dyDescent="0.3">
      <c r="A1377" s="113" t="s">
        <v>39</v>
      </c>
      <c r="B1377" s="113" t="s">
        <v>29</v>
      </c>
    </row>
    <row r="1378" spans="1:2" x14ac:dyDescent="0.3">
      <c r="A1378" s="113" t="s">
        <v>39</v>
      </c>
      <c r="B1378" s="113" t="s">
        <v>29</v>
      </c>
    </row>
    <row r="1379" spans="1:2" x14ac:dyDescent="0.3">
      <c r="A1379" s="113" t="s">
        <v>39</v>
      </c>
      <c r="B1379" s="113" t="s">
        <v>29</v>
      </c>
    </row>
    <row r="1380" spans="1:2" x14ac:dyDescent="0.3">
      <c r="A1380" s="113" t="s">
        <v>39</v>
      </c>
      <c r="B1380" s="113" t="s">
        <v>29</v>
      </c>
    </row>
    <row r="1381" spans="1:2" x14ac:dyDescent="0.3">
      <c r="A1381" s="113" t="s">
        <v>39</v>
      </c>
      <c r="B1381" s="113" t="s">
        <v>29</v>
      </c>
    </row>
    <row r="1382" spans="1:2" x14ac:dyDescent="0.3">
      <c r="A1382" s="113" t="s">
        <v>39</v>
      </c>
      <c r="B1382" s="113" t="s">
        <v>29</v>
      </c>
    </row>
    <row r="1383" spans="1:2" x14ac:dyDescent="0.3">
      <c r="A1383" s="113" t="s">
        <v>39</v>
      </c>
      <c r="B1383" s="113" t="s">
        <v>29</v>
      </c>
    </row>
    <row r="1384" spans="1:2" x14ac:dyDescent="0.3">
      <c r="A1384" s="113" t="s">
        <v>39</v>
      </c>
      <c r="B1384" s="113" t="s">
        <v>29</v>
      </c>
    </row>
    <row r="1385" spans="1:2" x14ac:dyDescent="0.3">
      <c r="A1385" s="113" t="s">
        <v>39</v>
      </c>
      <c r="B1385" s="113" t="s">
        <v>29</v>
      </c>
    </row>
    <row r="1386" spans="1:2" x14ac:dyDescent="0.3">
      <c r="A1386" s="113" t="s">
        <v>39</v>
      </c>
      <c r="B1386" s="113" t="s">
        <v>29</v>
      </c>
    </row>
    <row r="1387" spans="1:2" x14ac:dyDescent="0.3">
      <c r="A1387" s="113" t="s">
        <v>39</v>
      </c>
      <c r="B1387" s="113" t="s">
        <v>29</v>
      </c>
    </row>
    <row r="1388" spans="1:2" x14ac:dyDescent="0.3">
      <c r="A1388" s="113" t="s">
        <v>39</v>
      </c>
      <c r="B1388" s="113" t="s">
        <v>29</v>
      </c>
    </row>
    <row r="1389" spans="1:2" x14ac:dyDescent="0.3">
      <c r="A1389" s="113" t="s">
        <v>39</v>
      </c>
      <c r="B1389" s="113" t="s">
        <v>29</v>
      </c>
    </row>
    <row r="1390" spans="1:2" x14ac:dyDescent="0.3">
      <c r="A1390" s="113" t="s">
        <v>39</v>
      </c>
      <c r="B1390" s="113" t="s">
        <v>29</v>
      </c>
    </row>
    <row r="1391" spans="1:2" x14ac:dyDescent="0.3">
      <c r="A1391" s="113" t="s">
        <v>39</v>
      </c>
      <c r="B1391" s="113" t="s">
        <v>29</v>
      </c>
    </row>
    <row r="1392" spans="1:2" x14ac:dyDescent="0.3">
      <c r="A1392" s="113" t="s">
        <v>39</v>
      </c>
      <c r="B1392" s="113" t="s">
        <v>29</v>
      </c>
    </row>
    <row r="1393" spans="1:2" x14ac:dyDescent="0.3">
      <c r="A1393" s="113" t="s">
        <v>39</v>
      </c>
      <c r="B1393" s="113" t="s">
        <v>29</v>
      </c>
    </row>
    <row r="1394" spans="1:2" x14ac:dyDescent="0.3">
      <c r="A1394" s="113" t="s">
        <v>39</v>
      </c>
      <c r="B1394" s="113" t="s">
        <v>29</v>
      </c>
    </row>
    <row r="1395" spans="1:2" x14ac:dyDescent="0.3">
      <c r="A1395" s="113" t="s">
        <v>39</v>
      </c>
      <c r="B1395" s="113" t="s">
        <v>29</v>
      </c>
    </row>
    <row r="1396" spans="1:2" x14ac:dyDescent="0.3">
      <c r="A1396" s="113" t="s">
        <v>39</v>
      </c>
      <c r="B1396" s="113" t="s">
        <v>29</v>
      </c>
    </row>
    <row r="1397" spans="1:2" x14ac:dyDescent="0.3">
      <c r="A1397" s="113" t="s">
        <v>39</v>
      </c>
      <c r="B1397" s="113" t="s">
        <v>29</v>
      </c>
    </row>
    <row r="1398" spans="1:2" x14ac:dyDescent="0.3">
      <c r="A1398" s="113" t="s">
        <v>39</v>
      </c>
      <c r="B1398" s="113" t="s">
        <v>29</v>
      </c>
    </row>
    <row r="1399" spans="1:2" x14ac:dyDescent="0.3">
      <c r="A1399" s="113" t="s">
        <v>39</v>
      </c>
      <c r="B1399" s="113" t="s">
        <v>29</v>
      </c>
    </row>
    <row r="1400" spans="1:2" x14ac:dyDescent="0.3">
      <c r="A1400" s="113" t="s">
        <v>39</v>
      </c>
      <c r="B1400" s="113" t="s">
        <v>29</v>
      </c>
    </row>
    <row r="1401" spans="1:2" x14ac:dyDescent="0.3">
      <c r="A1401" s="113" t="s">
        <v>39</v>
      </c>
      <c r="B1401" s="113" t="s">
        <v>29</v>
      </c>
    </row>
    <row r="1402" spans="1:2" x14ac:dyDescent="0.3">
      <c r="A1402" s="113" t="s">
        <v>39</v>
      </c>
      <c r="B1402" s="113" t="s">
        <v>29</v>
      </c>
    </row>
    <row r="1403" spans="1:2" x14ac:dyDescent="0.3">
      <c r="A1403" s="113" t="s">
        <v>39</v>
      </c>
      <c r="B1403" s="113" t="s">
        <v>29</v>
      </c>
    </row>
    <row r="1404" spans="1:2" x14ac:dyDescent="0.3">
      <c r="A1404" s="113" t="s">
        <v>39</v>
      </c>
      <c r="B1404" s="113" t="s">
        <v>29</v>
      </c>
    </row>
    <row r="1405" spans="1:2" x14ac:dyDescent="0.3">
      <c r="A1405" s="113" t="s">
        <v>39</v>
      </c>
      <c r="B1405" s="113" t="s">
        <v>29</v>
      </c>
    </row>
    <row r="1406" spans="1:2" x14ac:dyDescent="0.3">
      <c r="A1406" s="113" t="s">
        <v>39</v>
      </c>
      <c r="B1406" s="113" t="s">
        <v>29</v>
      </c>
    </row>
    <row r="1407" spans="1:2" x14ac:dyDescent="0.3">
      <c r="A1407" s="113" t="s">
        <v>39</v>
      </c>
      <c r="B1407" s="113" t="s">
        <v>29</v>
      </c>
    </row>
    <row r="1408" spans="1:2" x14ac:dyDescent="0.3">
      <c r="A1408" s="113" t="s">
        <v>39</v>
      </c>
      <c r="B1408" s="113" t="s">
        <v>29</v>
      </c>
    </row>
    <row r="1409" spans="1:2" x14ac:dyDescent="0.3">
      <c r="A1409" s="113" t="s">
        <v>39</v>
      </c>
      <c r="B1409" s="113" t="s">
        <v>29</v>
      </c>
    </row>
    <row r="1410" spans="1:2" x14ac:dyDescent="0.3">
      <c r="A1410" s="113" t="s">
        <v>39</v>
      </c>
      <c r="B1410" s="113" t="s">
        <v>29</v>
      </c>
    </row>
    <row r="1411" spans="1:2" x14ac:dyDescent="0.3">
      <c r="A1411" s="113" t="s">
        <v>39</v>
      </c>
      <c r="B1411" s="113" t="s">
        <v>29</v>
      </c>
    </row>
    <row r="1412" spans="1:2" x14ac:dyDescent="0.3">
      <c r="A1412" s="113" t="s">
        <v>39</v>
      </c>
      <c r="B1412" s="113" t="s">
        <v>29</v>
      </c>
    </row>
    <row r="1413" spans="1:2" x14ac:dyDescent="0.3">
      <c r="A1413" s="113" t="s">
        <v>39</v>
      </c>
      <c r="B1413" s="113" t="s">
        <v>29</v>
      </c>
    </row>
    <row r="1414" spans="1:2" x14ac:dyDescent="0.3">
      <c r="A1414" s="113" t="s">
        <v>39</v>
      </c>
      <c r="B1414" s="113" t="s">
        <v>29</v>
      </c>
    </row>
    <row r="1415" spans="1:2" x14ac:dyDescent="0.3">
      <c r="A1415" s="113" t="s">
        <v>39</v>
      </c>
      <c r="B1415" s="113" t="s">
        <v>29</v>
      </c>
    </row>
    <row r="1416" spans="1:2" x14ac:dyDescent="0.3">
      <c r="A1416" s="113" t="s">
        <v>39</v>
      </c>
      <c r="B1416" s="113" t="s">
        <v>29</v>
      </c>
    </row>
    <row r="1417" spans="1:2" x14ac:dyDescent="0.3">
      <c r="A1417" s="113" t="s">
        <v>39</v>
      </c>
      <c r="B1417" s="113" t="s">
        <v>29</v>
      </c>
    </row>
    <row r="1418" spans="1:2" x14ac:dyDescent="0.3">
      <c r="A1418" s="113" t="s">
        <v>39</v>
      </c>
      <c r="B1418" s="113" t="s">
        <v>29</v>
      </c>
    </row>
    <row r="1419" spans="1:2" x14ac:dyDescent="0.3">
      <c r="A1419" s="113" t="s">
        <v>39</v>
      </c>
      <c r="B1419" s="113" t="s">
        <v>29</v>
      </c>
    </row>
    <row r="1420" spans="1:2" x14ac:dyDescent="0.3">
      <c r="A1420" s="113" t="s">
        <v>39</v>
      </c>
      <c r="B1420" s="113" t="s">
        <v>29</v>
      </c>
    </row>
    <row r="1421" spans="1:2" x14ac:dyDescent="0.3">
      <c r="A1421" s="113" t="s">
        <v>39</v>
      </c>
      <c r="B1421" s="113" t="s">
        <v>29</v>
      </c>
    </row>
    <row r="1422" spans="1:2" x14ac:dyDescent="0.3">
      <c r="A1422" s="113" t="s">
        <v>39</v>
      </c>
      <c r="B1422" s="113" t="s">
        <v>29</v>
      </c>
    </row>
    <row r="1423" spans="1:2" x14ac:dyDescent="0.3">
      <c r="A1423" s="113" t="s">
        <v>39</v>
      </c>
      <c r="B1423" s="113" t="s">
        <v>29</v>
      </c>
    </row>
    <row r="1424" spans="1:2" x14ac:dyDescent="0.3">
      <c r="A1424" s="113" t="s">
        <v>39</v>
      </c>
      <c r="B1424" s="113" t="s">
        <v>29</v>
      </c>
    </row>
    <row r="1425" spans="1:2" x14ac:dyDescent="0.3">
      <c r="A1425" s="113" t="s">
        <v>39</v>
      </c>
      <c r="B1425" s="113" t="s">
        <v>29</v>
      </c>
    </row>
    <row r="1426" spans="1:2" x14ac:dyDescent="0.3">
      <c r="A1426" s="113" t="s">
        <v>39</v>
      </c>
      <c r="B1426" s="113" t="s">
        <v>29</v>
      </c>
    </row>
    <row r="1427" spans="1:2" x14ac:dyDescent="0.3">
      <c r="A1427" s="113" t="s">
        <v>39</v>
      </c>
      <c r="B1427" s="113" t="s">
        <v>29</v>
      </c>
    </row>
    <row r="1428" spans="1:2" x14ac:dyDescent="0.3">
      <c r="A1428" s="113" t="s">
        <v>39</v>
      </c>
      <c r="B1428" s="113" t="s">
        <v>29</v>
      </c>
    </row>
    <row r="1429" spans="1:2" x14ac:dyDescent="0.3">
      <c r="A1429" s="113" t="s">
        <v>39</v>
      </c>
      <c r="B1429" s="113" t="s">
        <v>29</v>
      </c>
    </row>
    <row r="1430" spans="1:2" x14ac:dyDescent="0.3">
      <c r="A1430" s="113" t="s">
        <v>39</v>
      </c>
      <c r="B1430" s="113" t="s">
        <v>29</v>
      </c>
    </row>
    <row r="1431" spans="1:2" x14ac:dyDescent="0.3">
      <c r="A1431" s="113" t="s">
        <v>39</v>
      </c>
      <c r="B1431" s="113" t="s">
        <v>29</v>
      </c>
    </row>
    <row r="1432" spans="1:2" x14ac:dyDescent="0.3">
      <c r="A1432" s="113" t="s">
        <v>39</v>
      </c>
      <c r="B1432" s="113" t="s">
        <v>29</v>
      </c>
    </row>
    <row r="1433" spans="1:2" x14ac:dyDescent="0.3">
      <c r="A1433" s="113" t="s">
        <v>39</v>
      </c>
      <c r="B1433" s="113" t="s">
        <v>29</v>
      </c>
    </row>
    <row r="1434" spans="1:2" x14ac:dyDescent="0.3">
      <c r="A1434" s="113" t="s">
        <v>39</v>
      </c>
      <c r="B1434" s="113" t="s">
        <v>29</v>
      </c>
    </row>
    <row r="1435" spans="1:2" x14ac:dyDescent="0.3">
      <c r="A1435" s="113" t="s">
        <v>39</v>
      </c>
      <c r="B1435" s="113" t="s">
        <v>29</v>
      </c>
    </row>
    <row r="1436" spans="1:2" x14ac:dyDescent="0.3">
      <c r="A1436" s="113" t="s">
        <v>39</v>
      </c>
      <c r="B1436" s="113" t="s">
        <v>29</v>
      </c>
    </row>
    <row r="1437" spans="1:2" x14ac:dyDescent="0.3">
      <c r="A1437" s="113" t="s">
        <v>39</v>
      </c>
      <c r="B1437" s="113" t="s">
        <v>29</v>
      </c>
    </row>
    <row r="1438" spans="1:2" x14ac:dyDescent="0.3">
      <c r="A1438" s="113" t="s">
        <v>39</v>
      </c>
      <c r="B1438" s="113" t="s">
        <v>29</v>
      </c>
    </row>
    <row r="1439" spans="1:2" x14ac:dyDescent="0.3">
      <c r="A1439" s="113" t="s">
        <v>39</v>
      </c>
      <c r="B1439" s="113" t="s">
        <v>29</v>
      </c>
    </row>
    <row r="1440" spans="1:2" x14ac:dyDescent="0.3">
      <c r="A1440" s="113" t="s">
        <v>39</v>
      </c>
      <c r="B1440" s="113" t="s">
        <v>29</v>
      </c>
    </row>
    <row r="1441" spans="1:2" x14ac:dyDescent="0.3">
      <c r="A1441" s="113" t="s">
        <v>39</v>
      </c>
      <c r="B1441" s="113" t="s">
        <v>29</v>
      </c>
    </row>
    <row r="1442" spans="1:2" x14ac:dyDescent="0.3">
      <c r="A1442" s="113" t="s">
        <v>39</v>
      </c>
      <c r="B1442" s="113" t="s">
        <v>29</v>
      </c>
    </row>
    <row r="1443" spans="1:2" x14ac:dyDescent="0.3">
      <c r="A1443" s="113" t="s">
        <v>39</v>
      </c>
      <c r="B1443" s="113" t="s">
        <v>29</v>
      </c>
    </row>
    <row r="1444" spans="1:2" x14ac:dyDescent="0.3">
      <c r="A1444" s="113" t="s">
        <v>39</v>
      </c>
      <c r="B1444" s="113" t="s">
        <v>29</v>
      </c>
    </row>
    <row r="1445" spans="1:2" x14ac:dyDescent="0.3">
      <c r="A1445" s="113" t="s">
        <v>39</v>
      </c>
      <c r="B1445" s="113" t="s">
        <v>29</v>
      </c>
    </row>
    <row r="1446" spans="1:2" x14ac:dyDescent="0.3">
      <c r="A1446" s="113" t="s">
        <v>39</v>
      </c>
      <c r="B1446" s="113" t="s">
        <v>29</v>
      </c>
    </row>
    <row r="1447" spans="1:2" x14ac:dyDescent="0.3">
      <c r="A1447" s="113" t="s">
        <v>39</v>
      </c>
      <c r="B1447" s="113" t="s">
        <v>29</v>
      </c>
    </row>
    <row r="1448" spans="1:2" x14ac:dyDescent="0.3">
      <c r="A1448" s="113" t="s">
        <v>39</v>
      </c>
      <c r="B1448" s="113" t="s">
        <v>29</v>
      </c>
    </row>
    <row r="1449" spans="1:2" x14ac:dyDescent="0.3">
      <c r="A1449" s="113" t="s">
        <v>39</v>
      </c>
      <c r="B1449" s="113" t="s">
        <v>29</v>
      </c>
    </row>
    <row r="1450" spans="1:2" x14ac:dyDescent="0.3">
      <c r="A1450" s="113" t="s">
        <v>39</v>
      </c>
      <c r="B1450" s="113" t="s">
        <v>29</v>
      </c>
    </row>
    <row r="1451" spans="1:2" x14ac:dyDescent="0.3">
      <c r="A1451" s="113" t="s">
        <v>39</v>
      </c>
      <c r="B1451" s="113" t="s">
        <v>29</v>
      </c>
    </row>
    <row r="1452" spans="1:2" x14ac:dyDescent="0.3">
      <c r="A1452" s="113" t="s">
        <v>39</v>
      </c>
      <c r="B1452" s="113" t="s">
        <v>29</v>
      </c>
    </row>
    <row r="1453" spans="1:2" x14ac:dyDescent="0.3">
      <c r="A1453" s="113" t="s">
        <v>39</v>
      </c>
      <c r="B1453" s="113" t="s">
        <v>29</v>
      </c>
    </row>
    <row r="1454" spans="1:2" x14ac:dyDescent="0.3">
      <c r="A1454" s="113" t="s">
        <v>39</v>
      </c>
      <c r="B1454" s="113" t="s">
        <v>29</v>
      </c>
    </row>
    <row r="1455" spans="1:2" x14ac:dyDescent="0.3">
      <c r="A1455" s="113" t="s">
        <v>39</v>
      </c>
      <c r="B1455" s="113" t="s">
        <v>29</v>
      </c>
    </row>
    <row r="1456" spans="1:2" x14ac:dyDescent="0.3">
      <c r="A1456" s="113" t="s">
        <v>39</v>
      </c>
      <c r="B1456" s="113" t="s">
        <v>29</v>
      </c>
    </row>
    <row r="1457" spans="1:2" x14ac:dyDescent="0.3">
      <c r="A1457" s="113" t="s">
        <v>39</v>
      </c>
      <c r="B1457" s="113" t="s">
        <v>29</v>
      </c>
    </row>
    <row r="1458" spans="1:2" x14ac:dyDescent="0.3">
      <c r="A1458" s="113" t="s">
        <v>39</v>
      </c>
      <c r="B1458" s="113" t="s">
        <v>29</v>
      </c>
    </row>
    <row r="1459" spans="1:2" x14ac:dyDescent="0.3">
      <c r="A1459" s="113" t="s">
        <v>39</v>
      </c>
      <c r="B1459" s="113" t="s">
        <v>29</v>
      </c>
    </row>
    <row r="1460" spans="1:2" x14ac:dyDescent="0.3">
      <c r="A1460" s="113" t="s">
        <v>39</v>
      </c>
      <c r="B1460" s="113" t="s">
        <v>29</v>
      </c>
    </row>
    <row r="1461" spans="1:2" x14ac:dyDescent="0.3">
      <c r="A1461" s="113" t="s">
        <v>39</v>
      </c>
      <c r="B1461" s="113" t="s">
        <v>29</v>
      </c>
    </row>
    <row r="1462" spans="1:2" x14ac:dyDescent="0.3">
      <c r="A1462" s="113" t="s">
        <v>39</v>
      </c>
      <c r="B1462" s="113" t="s">
        <v>29</v>
      </c>
    </row>
    <row r="1463" spans="1:2" x14ac:dyDescent="0.3">
      <c r="A1463" s="113" t="s">
        <v>39</v>
      </c>
      <c r="B1463" s="113" t="s">
        <v>29</v>
      </c>
    </row>
    <row r="1464" spans="1:2" x14ac:dyDescent="0.3">
      <c r="A1464" s="113" t="s">
        <v>39</v>
      </c>
      <c r="B1464" s="113" t="s">
        <v>29</v>
      </c>
    </row>
    <row r="1465" spans="1:2" x14ac:dyDescent="0.3">
      <c r="A1465" s="113" t="s">
        <v>39</v>
      </c>
      <c r="B1465" s="113" t="s">
        <v>29</v>
      </c>
    </row>
    <row r="1466" spans="1:2" x14ac:dyDescent="0.3">
      <c r="A1466" s="113" t="s">
        <v>39</v>
      </c>
      <c r="B1466" s="113" t="s">
        <v>29</v>
      </c>
    </row>
    <row r="1467" spans="1:2" x14ac:dyDescent="0.3">
      <c r="A1467" s="113" t="s">
        <v>39</v>
      </c>
      <c r="B1467" s="113" t="s">
        <v>29</v>
      </c>
    </row>
    <row r="1468" spans="1:2" x14ac:dyDescent="0.3">
      <c r="A1468" s="113" t="s">
        <v>39</v>
      </c>
      <c r="B1468" s="113" t="s">
        <v>29</v>
      </c>
    </row>
    <row r="1469" spans="1:2" x14ac:dyDescent="0.3">
      <c r="A1469" s="113" t="s">
        <v>39</v>
      </c>
      <c r="B1469" s="113" t="s">
        <v>29</v>
      </c>
    </row>
    <row r="1470" spans="1:2" x14ac:dyDescent="0.3">
      <c r="A1470" s="113" t="s">
        <v>39</v>
      </c>
      <c r="B1470" s="113" t="s">
        <v>29</v>
      </c>
    </row>
    <row r="1471" spans="1:2" x14ac:dyDescent="0.3">
      <c r="A1471" s="113" t="s">
        <v>39</v>
      </c>
      <c r="B1471" s="113" t="s">
        <v>29</v>
      </c>
    </row>
    <row r="1472" spans="1:2" x14ac:dyDescent="0.3">
      <c r="A1472" s="113" t="s">
        <v>39</v>
      </c>
      <c r="B1472" s="113" t="s">
        <v>29</v>
      </c>
    </row>
    <row r="1473" spans="1:2" x14ac:dyDescent="0.3">
      <c r="A1473" s="113" t="s">
        <v>39</v>
      </c>
      <c r="B1473" s="113" t="s">
        <v>29</v>
      </c>
    </row>
    <row r="1474" spans="1:2" x14ac:dyDescent="0.3">
      <c r="A1474" s="113" t="s">
        <v>39</v>
      </c>
      <c r="B1474" s="113" t="s">
        <v>29</v>
      </c>
    </row>
    <row r="1475" spans="1:2" x14ac:dyDescent="0.3">
      <c r="A1475" s="113" t="s">
        <v>39</v>
      </c>
      <c r="B1475" s="113" t="s">
        <v>29</v>
      </c>
    </row>
    <row r="1476" spans="1:2" x14ac:dyDescent="0.3">
      <c r="A1476" s="113" t="s">
        <v>39</v>
      </c>
      <c r="B1476" s="113" t="s">
        <v>29</v>
      </c>
    </row>
    <row r="1477" spans="1:2" x14ac:dyDescent="0.3">
      <c r="A1477" s="113" t="s">
        <v>39</v>
      </c>
      <c r="B1477" s="113" t="s">
        <v>29</v>
      </c>
    </row>
    <row r="1478" spans="1:2" x14ac:dyDescent="0.3">
      <c r="A1478" s="113" t="s">
        <v>39</v>
      </c>
      <c r="B1478" s="113" t="s">
        <v>29</v>
      </c>
    </row>
    <row r="1479" spans="1:2" x14ac:dyDescent="0.3">
      <c r="A1479" s="113" t="s">
        <v>39</v>
      </c>
      <c r="B1479" s="113" t="s">
        <v>29</v>
      </c>
    </row>
    <row r="1480" spans="1:2" x14ac:dyDescent="0.3">
      <c r="A1480" s="113" t="s">
        <v>39</v>
      </c>
      <c r="B1480" s="113" t="s">
        <v>29</v>
      </c>
    </row>
    <row r="1481" spans="1:2" x14ac:dyDescent="0.3">
      <c r="A1481" s="113" t="s">
        <v>39</v>
      </c>
      <c r="B1481" s="113" t="s">
        <v>29</v>
      </c>
    </row>
    <row r="1482" spans="1:2" x14ac:dyDescent="0.3">
      <c r="A1482" s="113" t="s">
        <v>39</v>
      </c>
      <c r="B1482" s="113" t="s">
        <v>29</v>
      </c>
    </row>
    <row r="1483" spans="1:2" x14ac:dyDescent="0.3">
      <c r="A1483" s="113" t="s">
        <v>39</v>
      </c>
      <c r="B1483" s="113" t="s">
        <v>29</v>
      </c>
    </row>
    <row r="1484" spans="1:2" x14ac:dyDescent="0.3">
      <c r="A1484" s="113" t="s">
        <v>39</v>
      </c>
      <c r="B1484" s="113" t="s">
        <v>29</v>
      </c>
    </row>
    <row r="1485" spans="1:2" x14ac:dyDescent="0.3">
      <c r="A1485" s="113" t="s">
        <v>39</v>
      </c>
      <c r="B1485" s="113" t="s">
        <v>29</v>
      </c>
    </row>
    <row r="1486" spans="1:2" x14ac:dyDescent="0.3">
      <c r="A1486" s="113" t="s">
        <v>39</v>
      </c>
      <c r="B1486" s="113" t="s">
        <v>29</v>
      </c>
    </row>
    <row r="1487" spans="1:2" x14ac:dyDescent="0.3">
      <c r="A1487" s="113" t="s">
        <v>39</v>
      </c>
      <c r="B1487" s="113" t="s">
        <v>29</v>
      </c>
    </row>
    <row r="1488" spans="1:2" x14ac:dyDescent="0.3">
      <c r="A1488" s="113" t="s">
        <v>39</v>
      </c>
      <c r="B1488" s="113" t="s">
        <v>29</v>
      </c>
    </row>
    <row r="1489" spans="1:2" x14ac:dyDescent="0.3">
      <c r="A1489" s="113" t="s">
        <v>39</v>
      </c>
      <c r="B1489" s="113" t="s">
        <v>29</v>
      </c>
    </row>
    <row r="1490" spans="1:2" x14ac:dyDescent="0.3">
      <c r="A1490" s="113" t="s">
        <v>46</v>
      </c>
      <c r="B1490" s="113" t="s">
        <v>29</v>
      </c>
    </row>
    <row r="1491" spans="1:2" x14ac:dyDescent="0.3">
      <c r="A1491" s="113" t="s">
        <v>46</v>
      </c>
      <c r="B1491" s="113" t="s">
        <v>29</v>
      </c>
    </row>
    <row r="1492" spans="1:2" x14ac:dyDescent="0.3">
      <c r="A1492" s="113" t="s">
        <v>46</v>
      </c>
      <c r="B1492" s="113" t="s">
        <v>29</v>
      </c>
    </row>
    <row r="1493" spans="1:2" x14ac:dyDescent="0.3">
      <c r="A1493" s="113" t="s">
        <v>46</v>
      </c>
      <c r="B1493" s="113" t="s">
        <v>29</v>
      </c>
    </row>
    <row r="1494" spans="1:2" x14ac:dyDescent="0.3">
      <c r="A1494" s="113" t="s">
        <v>46</v>
      </c>
      <c r="B1494" s="113" t="s">
        <v>29</v>
      </c>
    </row>
    <row r="1495" spans="1:2" x14ac:dyDescent="0.3">
      <c r="A1495" s="113" t="s">
        <v>46</v>
      </c>
      <c r="B1495" s="113" t="s">
        <v>29</v>
      </c>
    </row>
    <row r="1496" spans="1:2" x14ac:dyDescent="0.3">
      <c r="A1496" s="113" t="s">
        <v>46</v>
      </c>
      <c r="B1496" s="113" t="s">
        <v>29</v>
      </c>
    </row>
    <row r="1497" spans="1:2" x14ac:dyDescent="0.3">
      <c r="A1497" s="113" t="s">
        <v>46</v>
      </c>
      <c r="B1497" s="113" t="s">
        <v>29</v>
      </c>
    </row>
    <row r="1498" spans="1:2" x14ac:dyDescent="0.3">
      <c r="A1498" s="113" t="s">
        <v>46</v>
      </c>
      <c r="B1498" s="113" t="s">
        <v>29</v>
      </c>
    </row>
    <row r="1499" spans="1:2" x14ac:dyDescent="0.3">
      <c r="A1499" s="113" t="s">
        <v>46</v>
      </c>
      <c r="B1499" s="113" t="s">
        <v>29</v>
      </c>
    </row>
    <row r="1500" spans="1:2" x14ac:dyDescent="0.3">
      <c r="A1500" s="113" t="s">
        <v>46</v>
      </c>
      <c r="B1500" s="113" t="s">
        <v>29</v>
      </c>
    </row>
    <row r="1501" spans="1:2" x14ac:dyDescent="0.3">
      <c r="A1501" s="113" t="s">
        <v>46</v>
      </c>
      <c r="B1501" s="113" t="s">
        <v>29</v>
      </c>
    </row>
    <row r="1502" spans="1:2" x14ac:dyDescent="0.3">
      <c r="A1502" s="113" t="s">
        <v>46</v>
      </c>
      <c r="B1502" s="113" t="s">
        <v>29</v>
      </c>
    </row>
    <row r="1503" spans="1:2" x14ac:dyDescent="0.3">
      <c r="A1503" s="113" t="s">
        <v>46</v>
      </c>
      <c r="B1503" s="113" t="s">
        <v>29</v>
      </c>
    </row>
    <row r="1504" spans="1:2" x14ac:dyDescent="0.3">
      <c r="A1504" s="113" t="s">
        <v>46</v>
      </c>
      <c r="B1504" s="113" t="s">
        <v>29</v>
      </c>
    </row>
    <row r="1505" spans="1:2" x14ac:dyDescent="0.3">
      <c r="A1505" s="113" t="s">
        <v>46</v>
      </c>
      <c r="B1505" s="113" t="s">
        <v>29</v>
      </c>
    </row>
    <row r="1506" spans="1:2" x14ac:dyDescent="0.3">
      <c r="A1506" s="113" t="s">
        <v>46</v>
      </c>
      <c r="B1506" s="113" t="s">
        <v>29</v>
      </c>
    </row>
    <row r="1507" spans="1:2" x14ac:dyDescent="0.3">
      <c r="A1507" s="113" t="s">
        <v>46</v>
      </c>
      <c r="B1507" s="113" t="s">
        <v>29</v>
      </c>
    </row>
    <row r="1508" spans="1:2" x14ac:dyDescent="0.3">
      <c r="A1508" s="113" t="s">
        <v>46</v>
      </c>
      <c r="B1508" s="113" t="s">
        <v>29</v>
      </c>
    </row>
    <row r="1509" spans="1:2" x14ac:dyDescent="0.3">
      <c r="A1509" s="113" t="s">
        <v>46</v>
      </c>
      <c r="B1509" s="113" t="s">
        <v>29</v>
      </c>
    </row>
    <row r="1510" spans="1:2" x14ac:dyDescent="0.3">
      <c r="A1510" s="113" t="s">
        <v>46</v>
      </c>
      <c r="B1510" s="113" t="s">
        <v>29</v>
      </c>
    </row>
    <row r="1511" spans="1:2" x14ac:dyDescent="0.3">
      <c r="A1511" s="113" t="s">
        <v>46</v>
      </c>
      <c r="B1511" s="113" t="s">
        <v>29</v>
      </c>
    </row>
    <row r="1512" spans="1:2" x14ac:dyDescent="0.3">
      <c r="A1512" s="113" t="s">
        <v>46</v>
      </c>
      <c r="B1512" s="113" t="s">
        <v>29</v>
      </c>
    </row>
    <row r="1513" spans="1:2" x14ac:dyDescent="0.3">
      <c r="A1513" s="113" t="s">
        <v>46</v>
      </c>
      <c r="B1513" s="113" t="s">
        <v>29</v>
      </c>
    </row>
    <row r="1514" spans="1:2" x14ac:dyDescent="0.3">
      <c r="A1514" s="113" t="s">
        <v>46</v>
      </c>
      <c r="B1514" s="113" t="s">
        <v>29</v>
      </c>
    </row>
    <row r="1515" spans="1:2" x14ac:dyDescent="0.3">
      <c r="A1515" s="113" t="s">
        <v>46</v>
      </c>
      <c r="B1515" s="113" t="s">
        <v>29</v>
      </c>
    </row>
    <row r="1516" spans="1:2" x14ac:dyDescent="0.3">
      <c r="A1516" s="113" t="s">
        <v>46</v>
      </c>
      <c r="B1516" s="113" t="s">
        <v>29</v>
      </c>
    </row>
    <row r="1517" spans="1:2" x14ac:dyDescent="0.3">
      <c r="A1517" s="113" t="s">
        <v>46</v>
      </c>
      <c r="B1517" s="113" t="s">
        <v>29</v>
      </c>
    </row>
    <row r="1518" spans="1:2" x14ac:dyDescent="0.3">
      <c r="A1518" s="113" t="s">
        <v>46</v>
      </c>
      <c r="B1518" s="113" t="s">
        <v>29</v>
      </c>
    </row>
    <row r="1519" spans="1:2" x14ac:dyDescent="0.3">
      <c r="A1519" s="113" t="s">
        <v>46</v>
      </c>
      <c r="B1519" s="113" t="s">
        <v>29</v>
      </c>
    </row>
    <row r="1520" spans="1:2" x14ac:dyDescent="0.3">
      <c r="A1520" s="113" t="s">
        <v>46</v>
      </c>
      <c r="B1520" s="113" t="s">
        <v>29</v>
      </c>
    </row>
    <row r="1521" spans="1:2" x14ac:dyDescent="0.3">
      <c r="A1521" s="113" t="s">
        <v>46</v>
      </c>
      <c r="B1521" s="113" t="s">
        <v>29</v>
      </c>
    </row>
    <row r="1522" spans="1:2" x14ac:dyDescent="0.3">
      <c r="A1522" s="113" t="s">
        <v>46</v>
      </c>
      <c r="B1522" s="113" t="s">
        <v>29</v>
      </c>
    </row>
    <row r="1523" spans="1:2" x14ac:dyDescent="0.3">
      <c r="A1523" s="113" t="s">
        <v>46</v>
      </c>
      <c r="B1523" s="113" t="s">
        <v>29</v>
      </c>
    </row>
    <row r="1524" spans="1:2" x14ac:dyDescent="0.3">
      <c r="A1524" s="113" t="s">
        <v>46</v>
      </c>
      <c r="B1524" s="113" t="s">
        <v>29</v>
      </c>
    </row>
    <row r="1525" spans="1:2" x14ac:dyDescent="0.3">
      <c r="A1525" s="113" t="s">
        <v>46</v>
      </c>
      <c r="B1525" s="113" t="s">
        <v>29</v>
      </c>
    </row>
    <row r="1526" spans="1:2" x14ac:dyDescent="0.3">
      <c r="A1526" s="113" t="s">
        <v>46</v>
      </c>
      <c r="B1526" s="113" t="s">
        <v>29</v>
      </c>
    </row>
    <row r="1527" spans="1:2" x14ac:dyDescent="0.3">
      <c r="A1527" s="113" t="s">
        <v>46</v>
      </c>
      <c r="B1527" s="113" t="s">
        <v>29</v>
      </c>
    </row>
    <row r="1528" spans="1:2" x14ac:dyDescent="0.3">
      <c r="A1528" s="113" t="s">
        <v>46</v>
      </c>
      <c r="B1528" s="113" t="s">
        <v>29</v>
      </c>
    </row>
    <row r="1529" spans="1:2" x14ac:dyDescent="0.3">
      <c r="A1529" s="113" t="s">
        <v>46</v>
      </c>
      <c r="B1529" s="113" t="s">
        <v>29</v>
      </c>
    </row>
    <row r="1530" spans="1:2" x14ac:dyDescent="0.3">
      <c r="A1530" s="113" t="s">
        <v>46</v>
      </c>
      <c r="B1530" s="113" t="s">
        <v>29</v>
      </c>
    </row>
    <row r="1531" spans="1:2" x14ac:dyDescent="0.3">
      <c r="A1531" s="113" t="s">
        <v>46</v>
      </c>
      <c r="B1531" s="113" t="s">
        <v>29</v>
      </c>
    </row>
    <row r="1532" spans="1:2" x14ac:dyDescent="0.3">
      <c r="A1532" s="113" t="s">
        <v>46</v>
      </c>
      <c r="B1532" s="113" t="s">
        <v>29</v>
      </c>
    </row>
    <row r="1533" spans="1:2" x14ac:dyDescent="0.3">
      <c r="A1533" s="113" t="s">
        <v>46</v>
      </c>
      <c r="B1533" s="113" t="s">
        <v>29</v>
      </c>
    </row>
    <row r="1534" spans="1:2" x14ac:dyDescent="0.3">
      <c r="A1534" s="113" t="s">
        <v>46</v>
      </c>
      <c r="B1534" s="113" t="s">
        <v>29</v>
      </c>
    </row>
    <row r="1535" spans="1:2" x14ac:dyDescent="0.3">
      <c r="A1535" s="113" t="s">
        <v>46</v>
      </c>
      <c r="B1535" s="113" t="s">
        <v>29</v>
      </c>
    </row>
    <row r="1536" spans="1:2" x14ac:dyDescent="0.3">
      <c r="A1536" s="113" t="s">
        <v>46</v>
      </c>
      <c r="B1536" s="113" t="s">
        <v>29</v>
      </c>
    </row>
    <row r="1537" spans="1:2" x14ac:dyDescent="0.3">
      <c r="A1537" s="113" t="s">
        <v>46</v>
      </c>
      <c r="B1537" s="113" t="s">
        <v>29</v>
      </c>
    </row>
    <row r="1538" spans="1:2" x14ac:dyDescent="0.3">
      <c r="A1538" s="113" t="s">
        <v>46</v>
      </c>
      <c r="B1538" s="113" t="s">
        <v>29</v>
      </c>
    </row>
    <row r="1539" spans="1:2" x14ac:dyDescent="0.3">
      <c r="A1539" s="113" t="s">
        <v>46</v>
      </c>
      <c r="B1539" s="113" t="s">
        <v>29</v>
      </c>
    </row>
    <row r="1540" spans="1:2" x14ac:dyDescent="0.3">
      <c r="A1540" s="113" t="s">
        <v>46</v>
      </c>
      <c r="B1540" s="113" t="s">
        <v>29</v>
      </c>
    </row>
    <row r="1541" spans="1:2" x14ac:dyDescent="0.3">
      <c r="A1541" s="113" t="s">
        <v>46</v>
      </c>
      <c r="B1541" s="113" t="s">
        <v>29</v>
      </c>
    </row>
    <row r="1542" spans="1:2" x14ac:dyDescent="0.3">
      <c r="A1542" s="113" t="s">
        <v>46</v>
      </c>
      <c r="B1542" s="113" t="s">
        <v>29</v>
      </c>
    </row>
    <row r="1543" spans="1:2" x14ac:dyDescent="0.3">
      <c r="A1543" s="113" t="s">
        <v>46</v>
      </c>
      <c r="B1543" s="113" t="s">
        <v>29</v>
      </c>
    </row>
    <row r="1544" spans="1:2" x14ac:dyDescent="0.3">
      <c r="A1544" s="113" t="s">
        <v>46</v>
      </c>
      <c r="B1544" s="113" t="s">
        <v>29</v>
      </c>
    </row>
    <row r="1545" spans="1:2" x14ac:dyDescent="0.3">
      <c r="A1545" s="113" t="s">
        <v>46</v>
      </c>
      <c r="B1545" s="113" t="s">
        <v>29</v>
      </c>
    </row>
    <row r="1546" spans="1:2" x14ac:dyDescent="0.3">
      <c r="A1546" s="113" t="s">
        <v>46</v>
      </c>
      <c r="B1546" s="113" t="s">
        <v>29</v>
      </c>
    </row>
    <row r="1547" spans="1:2" x14ac:dyDescent="0.3">
      <c r="A1547" s="113" t="s">
        <v>46</v>
      </c>
      <c r="B1547" s="113" t="s">
        <v>29</v>
      </c>
    </row>
    <row r="1548" spans="1:2" x14ac:dyDescent="0.3">
      <c r="A1548" s="113" t="s">
        <v>46</v>
      </c>
      <c r="B1548" s="113" t="s">
        <v>29</v>
      </c>
    </row>
    <row r="1549" spans="1:2" x14ac:dyDescent="0.3">
      <c r="A1549" s="113" t="s">
        <v>46</v>
      </c>
      <c r="B1549" s="113" t="s">
        <v>29</v>
      </c>
    </row>
    <row r="1550" spans="1:2" x14ac:dyDescent="0.3">
      <c r="A1550" s="113" t="s">
        <v>46</v>
      </c>
      <c r="B1550" s="113" t="s">
        <v>29</v>
      </c>
    </row>
    <row r="1551" spans="1:2" x14ac:dyDescent="0.3">
      <c r="A1551" s="113" t="s">
        <v>46</v>
      </c>
      <c r="B1551" s="113" t="s">
        <v>29</v>
      </c>
    </row>
    <row r="1552" spans="1:2" x14ac:dyDescent="0.3">
      <c r="A1552" s="113" t="s">
        <v>46</v>
      </c>
      <c r="B1552" s="113" t="s">
        <v>29</v>
      </c>
    </row>
    <row r="1553" spans="1:2" x14ac:dyDescent="0.3">
      <c r="A1553" s="113" t="s">
        <v>46</v>
      </c>
      <c r="B1553" s="113" t="s">
        <v>29</v>
      </c>
    </row>
    <row r="1554" spans="1:2" x14ac:dyDescent="0.3">
      <c r="A1554" s="113" t="s">
        <v>46</v>
      </c>
      <c r="B1554" s="113" t="s">
        <v>29</v>
      </c>
    </row>
    <row r="1555" spans="1:2" x14ac:dyDescent="0.3">
      <c r="A1555" s="113" t="s">
        <v>46</v>
      </c>
      <c r="B1555" s="113" t="s">
        <v>29</v>
      </c>
    </row>
    <row r="1556" spans="1:2" x14ac:dyDescent="0.3">
      <c r="A1556" s="113" t="s">
        <v>46</v>
      </c>
      <c r="B1556" s="113" t="s">
        <v>29</v>
      </c>
    </row>
    <row r="1557" spans="1:2" x14ac:dyDescent="0.3">
      <c r="A1557" s="113" t="s">
        <v>46</v>
      </c>
      <c r="B1557" s="113" t="s">
        <v>29</v>
      </c>
    </row>
    <row r="1558" spans="1:2" x14ac:dyDescent="0.3">
      <c r="A1558" s="113" t="s">
        <v>46</v>
      </c>
      <c r="B1558" s="113" t="s">
        <v>29</v>
      </c>
    </row>
    <row r="1559" spans="1:2" x14ac:dyDescent="0.3">
      <c r="A1559" s="113" t="s">
        <v>46</v>
      </c>
      <c r="B1559" s="113" t="s">
        <v>29</v>
      </c>
    </row>
    <row r="1560" spans="1:2" x14ac:dyDescent="0.3">
      <c r="A1560" s="113" t="s">
        <v>46</v>
      </c>
      <c r="B1560" s="113" t="s">
        <v>29</v>
      </c>
    </row>
    <row r="1561" spans="1:2" x14ac:dyDescent="0.3">
      <c r="A1561" s="113" t="s">
        <v>46</v>
      </c>
      <c r="B1561" s="113" t="s">
        <v>29</v>
      </c>
    </row>
    <row r="1562" spans="1:2" x14ac:dyDescent="0.3">
      <c r="A1562" s="113" t="s">
        <v>46</v>
      </c>
      <c r="B1562" s="113" t="s">
        <v>29</v>
      </c>
    </row>
    <row r="1563" spans="1:2" x14ac:dyDescent="0.3">
      <c r="A1563" s="113" t="s">
        <v>46</v>
      </c>
      <c r="B1563" s="113" t="s">
        <v>29</v>
      </c>
    </row>
    <row r="1564" spans="1:2" x14ac:dyDescent="0.3">
      <c r="A1564" s="113" t="s">
        <v>46</v>
      </c>
      <c r="B1564" s="113" t="s">
        <v>29</v>
      </c>
    </row>
    <row r="1565" spans="1:2" x14ac:dyDescent="0.3">
      <c r="A1565" s="113" t="s">
        <v>46</v>
      </c>
      <c r="B1565" s="113" t="s">
        <v>29</v>
      </c>
    </row>
    <row r="1566" spans="1:2" x14ac:dyDescent="0.3">
      <c r="A1566" s="113" t="s">
        <v>46</v>
      </c>
      <c r="B1566" s="113" t="s">
        <v>29</v>
      </c>
    </row>
    <row r="1567" spans="1:2" x14ac:dyDescent="0.3">
      <c r="A1567" s="113" t="s">
        <v>46</v>
      </c>
      <c r="B1567" s="113" t="s">
        <v>29</v>
      </c>
    </row>
    <row r="1568" spans="1:2" x14ac:dyDescent="0.3">
      <c r="A1568" s="113" t="s">
        <v>46</v>
      </c>
      <c r="B1568" s="113" t="s">
        <v>29</v>
      </c>
    </row>
    <row r="1569" spans="1:2" x14ac:dyDescent="0.3">
      <c r="A1569" s="113" t="s">
        <v>46</v>
      </c>
      <c r="B1569" s="113" t="s">
        <v>29</v>
      </c>
    </row>
    <row r="1570" spans="1:2" x14ac:dyDescent="0.3">
      <c r="A1570" s="113" t="s">
        <v>46</v>
      </c>
      <c r="B1570" s="113" t="s">
        <v>29</v>
      </c>
    </row>
    <row r="1571" spans="1:2" x14ac:dyDescent="0.3">
      <c r="A1571" s="113" t="s">
        <v>46</v>
      </c>
      <c r="B1571" s="113" t="s">
        <v>29</v>
      </c>
    </row>
    <row r="1572" spans="1:2" x14ac:dyDescent="0.3">
      <c r="A1572" s="113" t="s">
        <v>46</v>
      </c>
      <c r="B1572" s="113" t="s">
        <v>29</v>
      </c>
    </row>
    <row r="1573" spans="1:2" x14ac:dyDescent="0.3">
      <c r="A1573" s="113" t="s">
        <v>46</v>
      </c>
      <c r="B1573" s="113" t="s">
        <v>29</v>
      </c>
    </row>
    <row r="1574" spans="1:2" x14ac:dyDescent="0.3">
      <c r="A1574" s="113" t="s">
        <v>46</v>
      </c>
      <c r="B1574" s="113" t="s">
        <v>29</v>
      </c>
    </row>
    <row r="1575" spans="1:2" x14ac:dyDescent="0.3">
      <c r="A1575" s="113" t="s">
        <v>46</v>
      </c>
      <c r="B1575" s="113" t="s">
        <v>29</v>
      </c>
    </row>
    <row r="1576" spans="1:2" x14ac:dyDescent="0.3">
      <c r="A1576" s="113" t="s">
        <v>46</v>
      </c>
      <c r="B1576" s="113" t="s">
        <v>29</v>
      </c>
    </row>
    <row r="1577" spans="1:2" x14ac:dyDescent="0.3">
      <c r="A1577" s="113" t="s">
        <v>46</v>
      </c>
      <c r="B1577" s="113" t="s">
        <v>29</v>
      </c>
    </row>
    <row r="1578" spans="1:2" x14ac:dyDescent="0.3">
      <c r="A1578" s="113" t="s">
        <v>46</v>
      </c>
      <c r="B1578" s="113" t="s">
        <v>29</v>
      </c>
    </row>
    <row r="1579" spans="1:2" x14ac:dyDescent="0.3">
      <c r="A1579" s="113" t="s">
        <v>46</v>
      </c>
      <c r="B1579" s="113" t="s">
        <v>29</v>
      </c>
    </row>
    <row r="1580" spans="1:2" x14ac:dyDescent="0.3">
      <c r="A1580" s="113" t="s">
        <v>46</v>
      </c>
      <c r="B1580" s="113" t="s">
        <v>29</v>
      </c>
    </row>
    <row r="1581" spans="1:2" x14ac:dyDescent="0.3">
      <c r="A1581" s="113" t="s">
        <v>46</v>
      </c>
      <c r="B1581" s="113" t="s">
        <v>29</v>
      </c>
    </row>
    <row r="1582" spans="1:2" x14ac:dyDescent="0.3">
      <c r="A1582" s="113" t="s">
        <v>46</v>
      </c>
      <c r="B1582" s="113" t="s">
        <v>29</v>
      </c>
    </row>
    <row r="1583" spans="1:2" x14ac:dyDescent="0.3">
      <c r="A1583" s="113" t="s">
        <v>46</v>
      </c>
      <c r="B1583" s="113" t="s">
        <v>29</v>
      </c>
    </row>
    <row r="1584" spans="1:2" x14ac:dyDescent="0.3">
      <c r="A1584" s="113" t="s">
        <v>46</v>
      </c>
      <c r="B1584" s="113" t="s">
        <v>29</v>
      </c>
    </row>
    <row r="1585" spans="1:2" x14ac:dyDescent="0.3">
      <c r="A1585" s="113" t="s">
        <v>46</v>
      </c>
      <c r="B1585" s="113" t="s">
        <v>29</v>
      </c>
    </row>
    <row r="1586" spans="1:2" x14ac:dyDescent="0.3">
      <c r="A1586" s="113" t="s">
        <v>46</v>
      </c>
      <c r="B1586" s="113" t="s">
        <v>29</v>
      </c>
    </row>
    <row r="1587" spans="1:2" x14ac:dyDescent="0.3">
      <c r="A1587" s="113" t="s">
        <v>46</v>
      </c>
      <c r="B1587" s="113" t="s">
        <v>29</v>
      </c>
    </row>
    <row r="1588" spans="1:2" x14ac:dyDescent="0.3">
      <c r="A1588" s="113" t="s">
        <v>46</v>
      </c>
      <c r="B1588" s="113" t="s">
        <v>29</v>
      </c>
    </row>
    <row r="1589" spans="1:2" x14ac:dyDescent="0.3">
      <c r="A1589" s="113" t="s">
        <v>46</v>
      </c>
      <c r="B1589" s="113" t="s">
        <v>29</v>
      </c>
    </row>
    <row r="1590" spans="1:2" x14ac:dyDescent="0.3">
      <c r="A1590" s="113" t="s">
        <v>46</v>
      </c>
      <c r="B1590" s="113" t="s">
        <v>29</v>
      </c>
    </row>
    <row r="1591" spans="1:2" x14ac:dyDescent="0.3">
      <c r="A1591" s="113" t="s">
        <v>46</v>
      </c>
      <c r="B1591" s="113" t="s">
        <v>29</v>
      </c>
    </row>
    <row r="1592" spans="1:2" x14ac:dyDescent="0.3">
      <c r="A1592" s="113" t="s">
        <v>46</v>
      </c>
      <c r="B1592" s="113" t="s">
        <v>29</v>
      </c>
    </row>
    <row r="1593" spans="1:2" x14ac:dyDescent="0.3">
      <c r="A1593" s="113" t="s">
        <v>46</v>
      </c>
      <c r="B1593" s="113" t="s">
        <v>29</v>
      </c>
    </row>
    <row r="1594" spans="1:2" x14ac:dyDescent="0.3">
      <c r="A1594" s="113" t="s">
        <v>46</v>
      </c>
      <c r="B1594" s="113" t="s">
        <v>29</v>
      </c>
    </row>
    <row r="1595" spans="1:2" x14ac:dyDescent="0.3">
      <c r="A1595" s="113" t="s">
        <v>46</v>
      </c>
      <c r="B1595" s="113" t="s">
        <v>29</v>
      </c>
    </row>
    <row r="1596" spans="1:2" x14ac:dyDescent="0.3">
      <c r="A1596" s="113" t="s">
        <v>46</v>
      </c>
      <c r="B1596" s="113" t="s">
        <v>29</v>
      </c>
    </row>
    <row r="1597" spans="1:2" x14ac:dyDescent="0.3">
      <c r="A1597" s="113" t="s">
        <v>46</v>
      </c>
      <c r="B1597" s="113" t="s">
        <v>29</v>
      </c>
    </row>
    <row r="1598" spans="1:2" x14ac:dyDescent="0.3">
      <c r="A1598" s="113" t="s">
        <v>46</v>
      </c>
      <c r="B1598" s="113" t="s">
        <v>29</v>
      </c>
    </row>
    <row r="1599" spans="1:2" x14ac:dyDescent="0.3">
      <c r="A1599" s="113" t="s">
        <v>46</v>
      </c>
      <c r="B1599" s="113" t="s">
        <v>29</v>
      </c>
    </row>
    <row r="1600" spans="1:2" x14ac:dyDescent="0.3">
      <c r="A1600" s="113" t="s">
        <v>46</v>
      </c>
      <c r="B1600" s="113" t="s">
        <v>29</v>
      </c>
    </row>
    <row r="1601" spans="1:2" x14ac:dyDescent="0.3">
      <c r="A1601" s="113" t="s">
        <v>46</v>
      </c>
      <c r="B1601" s="113" t="s">
        <v>29</v>
      </c>
    </row>
    <row r="1602" spans="1:2" x14ac:dyDescent="0.3">
      <c r="A1602" s="113" t="s">
        <v>46</v>
      </c>
      <c r="B1602" s="113" t="s">
        <v>29</v>
      </c>
    </row>
    <row r="1603" spans="1:2" x14ac:dyDescent="0.3">
      <c r="A1603" s="113" t="s">
        <v>46</v>
      </c>
      <c r="B1603" s="113" t="s">
        <v>29</v>
      </c>
    </row>
    <row r="1604" spans="1:2" x14ac:dyDescent="0.3">
      <c r="A1604" s="113" t="s">
        <v>46</v>
      </c>
      <c r="B1604" s="113" t="s">
        <v>29</v>
      </c>
    </row>
    <row r="1605" spans="1:2" x14ac:dyDescent="0.3">
      <c r="A1605" s="113" t="s">
        <v>46</v>
      </c>
      <c r="B1605" s="113" t="s">
        <v>29</v>
      </c>
    </row>
    <row r="1606" spans="1:2" x14ac:dyDescent="0.3">
      <c r="A1606" s="113" t="s">
        <v>46</v>
      </c>
      <c r="B1606" s="113" t="s">
        <v>29</v>
      </c>
    </row>
    <row r="1607" spans="1:2" x14ac:dyDescent="0.3">
      <c r="A1607" s="113" t="s">
        <v>46</v>
      </c>
      <c r="B1607" s="113" t="s">
        <v>29</v>
      </c>
    </row>
    <row r="1608" spans="1:2" x14ac:dyDescent="0.3">
      <c r="A1608" s="113" t="s">
        <v>46</v>
      </c>
      <c r="B1608" s="113" t="s">
        <v>29</v>
      </c>
    </row>
    <row r="1609" spans="1:2" x14ac:dyDescent="0.3">
      <c r="A1609" s="113" t="s">
        <v>46</v>
      </c>
      <c r="B1609" s="113" t="s">
        <v>29</v>
      </c>
    </row>
    <row r="1610" spans="1:2" x14ac:dyDescent="0.3">
      <c r="A1610" s="113" t="s">
        <v>46</v>
      </c>
      <c r="B1610" s="113" t="s">
        <v>29</v>
      </c>
    </row>
    <row r="1611" spans="1:2" x14ac:dyDescent="0.3">
      <c r="A1611" s="113" t="s">
        <v>46</v>
      </c>
      <c r="B1611" s="113" t="s">
        <v>29</v>
      </c>
    </row>
    <row r="1612" spans="1:2" x14ac:dyDescent="0.3">
      <c r="A1612" s="113" t="s">
        <v>46</v>
      </c>
      <c r="B1612" s="113" t="s">
        <v>29</v>
      </c>
    </row>
    <row r="1613" spans="1:2" x14ac:dyDescent="0.3">
      <c r="A1613" s="113" t="s">
        <v>46</v>
      </c>
      <c r="B1613" s="113" t="s">
        <v>29</v>
      </c>
    </row>
    <row r="1614" spans="1:2" x14ac:dyDescent="0.3">
      <c r="A1614" s="113" t="s">
        <v>46</v>
      </c>
      <c r="B1614" s="113" t="s">
        <v>29</v>
      </c>
    </row>
    <row r="1615" spans="1:2" x14ac:dyDescent="0.3">
      <c r="A1615" s="113" t="s">
        <v>46</v>
      </c>
      <c r="B1615" s="113" t="s">
        <v>29</v>
      </c>
    </row>
    <row r="1616" spans="1:2" x14ac:dyDescent="0.3">
      <c r="A1616" s="113" t="s">
        <v>46</v>
      </c>
      <c r="B1616" s="113" t="s">
        <v>29</v>
      </c>
    </row>
    <row r="1617" spans="1:2" x14ac:dyDescent="0.3">
      <c r="A1617" s="113" t="s">
        <v>46</v>
      </c>
      <c r="B1617" s="113" t="s">
        <v>29</v>
      </c>
    </row>
    <row r="1618" spans="1:2" x14ac:dyDescent="0.3">
      <c r="A1618" s="113" t="s">
        <v>46</v>
      </c>
      <c r="B1618" s="113" t="s">
        <v>29</v>
      </c>
    </row>
    <row r="1619" spans="1:2" x14ac:dyDescent="0.3">
      <c r="A1619" s="113" t="s">
        <v>46</v>
      </c>
      <c r="B1619" s="113" t="s">
        <v>29</v>
      </c>
    </row>
    <row r="1620" spans="1:2" x14ac:dyDescent="0.3">
      <c r="A1620" s="113" t="s">
        <v>46</v>
      </c>
      <c r="B1620" s="113" t="s">
        <v>29</v>
      </c>
    </row>
    <row r="1621" spans="1:2" x14ac:dyDescent="0.3">
      <c r="A1621" s="113" t="s">
        <v>46</v>
      </c>
      <c r="B1621" s="113" t="s">
        <v>29</v>
      </c>
    </row>
    <row r="1622" spans="1:2" x14ac:dyDescent="0.3">
      <c r="A1622" s="113" t="s">
        <v>46</v>
      </c>
      <c r="B1622" s="113" t="s">
        <v>29</v>
      </c>
    </row>
    <row r="1623" spans="1:2" x14ac:dyDescent="0.3">
      <c r="A1623" s="113" t="s">
        <v>46</v>
      </c>
      <c r="B1623" s="113" t="s">
        <v>29</v>
      </c>
    </row>
    <row r="1624" spans="1:2" x14ac:dyDescent="0.3">
      <c r="A1624" s="113" t="s">
        <v>46</v>
      </c>
      <c r="B1624" s="113" t="s">
        <v>29</v>
      </c>
    </row>
    <row r="1625" spans="1:2" x14ac:dyDescent="0.3">
      <c r="A1625" s="113" t="s">
        <v>46</v>
      </c>
      <c r="B1625" s="113" t="s">
        <v>29</v>
      </c>
    </row>
    <row r="1626" spans="1:2" x14ac:dyDescent="0.3">
      <c r="A1626" s="113" t="s">
        <v>46</v>
      </c>
      <c r="B1626" s="113" t="s">
        <v>29</v>
      </c>
    </row>
    <row r="1627" spans="1:2" x14ac:dyDescent="0.3">
      <c r="A1627" s="113" t="s">
        <v>46</v>
      </c>
      <c r="B1627" s="113" t="s">
        <v>29</v>
      </c>
    </row>
    <row r="1628" spans="1:2" x14ac:dyDescent="0.3">
      <c r="A1628" s="113" t="s">
        <v>46</v>
      </c>
      <c r="B1628" s="113" t="s">
        <v>29</v>
      </c>
    </row>
    <row r="1629" spans="1:2" x14ac:dyDescent="0.3">
      <c r="A1629" s="113" t="s">
        <v>46</v>
      </c>
      <c r="B1629" s="113" t="s">
        <v>29</v>
      </c>
    </row>
    <row r="1630" spans="1:2" x14ac:dyDescent="0.3">
      <c r="A1630" s="113" t="s">
        <v>46</v>
      </c>
      <c r="B1630" s="113" t="s">
        <v>29</v>
      </c>
    </row>
    <row r="1631" spans="1:2" x14ac:dyDescent="0.3">
      <c r="A1631" s="113" t="s">
        <v>46</v>
      </c>
      <c r="B1631" s="113" t="s">
        <v>29</v>
      </c>
    </row>
    <row r="1632" spans="1:2" x14ac:dyDescent="0.3">
      <c r="A1632" s="113" t="s">
        <v>46</v>
      </c>
      <c r="B1632" s="113" t="s">
        <v>29</v>
      </c>
    </row>
    <row r="1633" spans="1:2" x14ac:dyDescent="0.3">
      <c r="A1633" s="113" t="s">
        <v>46</v>
      </c>
      <c r="B1633" s="113" t="s">
        <v>29</v>
      </c>
    </row>
    <row r="1634" spans="1:2" x14ac:dyDescent="0.3">
      <c r="A1634" s="113" t="s">
        <v>46</v>
      </c>
      <c r="B1634" s="113" t="s">
        <v>29</v>
      </c>
    </row>
    <row r="1635" spans="1:2" x14ac:dyDescent="0.3">
      <c r="A1635" s="113" t="s">
        <v>46</v>
      </c>
      <c r="B1635" s="113" t="s">
        <v>29</v>
      </c>
    </row>
    <row r="1636" spans="1:2" x14ac:dyDescent="0.3">
      <c r="A1636" s="113" t="s">
        <v>46</v>
      </c>
      <c r="B1636" s="113" t="s">
        <v>29</v>
      </c>
    </row>
    <row r="1637" spans="1:2" x14ac:dyDescent="0.3">
      <c r="A1637" s="113" t="s">
        <v>46</v>
      </c>
      <c r="B1637" s="113" t="s">
        <v>29</v>
      </c>
    </row>
    <row r="1638" spans="1:2" x14ac:dyDescent="0.3">
      <c r="A1638" s="113" t="s">
        <v>46</v>
      </c>
      <c r="B1638" s="113" t="s">
        <v>29</v>
      </c>
    </row>
    <row r="1639" spans="1:2" x14ac:dyDescent="0.3">
      <c r="A1639" s="113" t="s">
        <v>46</v>
      </c>
      <c r="B1639" s="113" t="s">
        <v>29</v>
      </c>
    </row>
    <row r="1640" spans="1:2" x14ac:dyDescent="0.3">
      <c r="A1640" s="113" t="s">
        <v>46</v>
      </c>
      <c r="B1640" s="113" t="s">
        <v>29</v>
      </c>
    </row>
    <row r="1641" spans="1:2" x14ac:dyDescent="0.3">
      <c r="A1641" s="113" t="s">
        <v>46</v>
      </c>
      <c r="B1641" s="113" t="s">
        <v>29</v>
      </c>
    </row>
    <row r="1642" spans="1:2" x14ac:dyDescent="0.3">
      <c r="A1642" s="113" t="s">
        <v>46</v>
      </c>
      <c r="B1642" s="113" t="s">
        <v>29</v>
      </c>
    </row>
    <row r="1643" spans="1:2" x14ac:dyDescent="0.3">
      <c r="A1643" s="113" t="s">
        <v>46</v>
      </c>
      <c r="B1643" s="113" t="s">
        <v>29</v>
      </c>
    </row>
    <row r="1644" spans="1:2" x14ac:dyDescent="0.3">
      <c r="A1644" s="113" t="s">
        <v>46</v>
      </c>
      <c r="B1644" s="113" t="s">
        <v>29</v>
      </c>
    </row>
    <row r="1645" spans="1:2" x14ac:dyDescent="0.3">
      <c r="A1645" s="113" t="s">
        <v>46</v>
      </c>
      <c r="B1645" s="113" t="s">
        <v>29</v>
      </c>
    </row>
    <row r="1646" spans="1:2" x14ac:dyDescent="0.3">
      <c r="A1646" s="113" t="s">
        <v>46</v>
      </c>
      <c r="B1646" s="113" t="s">
        <v>29</v>
      </c>
    </row>
    <row r="1647" spans="1:2" x14ac:dyDescent="0.3">
      <c r="A1647" s="113" t="s">
        <v>46</v>
      </c>
      <c r="B1647" s="113" t="s">
        <v>29</v>
      </c>
    </row>
    <row r="1648" spans="1:2" x14ac:dyDescent="0.3">
      <c r="A1648" s="113" t="s">
        <v>46</v>
      </c>
      <c r="B1648" s="113" t="s">
        <v>29</v>
      </c>
    </row>
    <row r="1649" spans="1:2" x14ac:dyDescent="0.3">
      <c r="A1649" s="113" t="s">
        <v>46</v>
      </c>
      <c r="B1649" s="113" t="s">
        <v>29</v>
      </c>
    </row>
    <row r="1650" spans="1:2" x14ac:dyDescent="0.3">
      <c r="A1650" s="113" t="s">
        <v>46</v>
      </c>
      <c r="B1650" s="113" t="s">
        <v>29</v>
      </c>
    </row>
    <row r="1651" spans="1:2" x14ac:dyDescent="0.3">
      <c r="A1651" s="113" t="s">
        <v>46</v>
      </c>
      <c r="B1651" s="113" t="s">
        <v>29</v>
      </c>
    </row>
    <row r="1652" spans="1:2" x14ac:dyDescent="0.3">
      <c r="A1652" s="113" t="s">
        <v>46</v>
      </c>
      <c r="B1652" s="113" t="s">
        <v>29</v>
      </c>
    </row>
    <row r="1653" spans="1:2" x14ac:dyDescent="0.3">
      <c r="A1653" s="113" t="s">
        <v>46</v>
      </c>
      <c r="B1653" s="113" t="s">
        <v>29</v>
      </c>
    </row>
    <row r="1654" spans="1:2" x14ac:dyDescent="0.3">
      <c r="A1654" s="113" t="s">
        <v>46</v>
      </c>
      <c r="B1654" s="113" t="s">
        <v>29</v>
      </c>
    </row>
    <row r="1655" spans="1:2" x14ac:dyDescent="0.3">
      <c r="A1655" s="113" t="s">
        <v>46</v>
      </c>
      <c r="B1655" s="113" t="s">
        <v>29</v>
      </c>
    </row>
    <row r="1656" spans="1:2" x14ac:dyDescent="0.3">
      <c r="A1656" s="113" t="s">
        <v>46</v>
      </c>
      <c r="B1656" s="113" t="s">
        <v>29</v>
      </c>
    </row>
    <row r="1657" spans="1:2" x14ac:dyDescent="0.3">
      <c r="A1657" s="113" t="s">
        <v>46</v>
      </c>
      <c r="B1657" s="113" t="s">
        <v>29</v>
      </c>
    </row>
    <row r="1658" spans="1:2" x14ac:dyDescent="0.3">
      <c r="A1658" s="113" t="s">
        <v>46</v>
      </c>
      <c r="B1658" s="113" t="s">
        <v>29</v>
      </c>
    </row>
    <row r="1659" spans="1:2" x14ac:dyDescent="0.3">
      <c r="A1659" s="113" t="s">
        <v>46</v>
      </c>
      <c r="B1659" s="113" t="s">
        <v>29</v>
      </c>
    </row>
    <row r="1660" spans="1:2" x14ac:dyDescent="0.3">
      <c r="A1660" s="113" t="s">
        <v>46</v>
      </c>
      <c r="B1660" s="113" t="s">
        <v>29</v>
      </c>
    </row>
    <row r="1661" spans="1:2" x14ac:dyDescent="0.3">
      <c r="A1661" s="113" t="s">
        <v>46</v>
      </c>
      <c r="B1661" s="113" t="s">
        <v>29</v>
      </c>
    </row>
    <row r="1662" spans="1:2" x14ac:dyDescent="0.3">
      <c r="A1662" s="113" t="s">
        <v>46</v>
      </c>
      <c r="B1662" s="113" t="s">
        <v>29</v>
      </c>
    </row>
    <row r="1663" spans="1:2" x14ac:dyDescent="0.3">
      <c r="A1663" s="113" t="s">
        <v>46</v>
      </c>
      <c r="B1663" s="113" t="s">
        <v>29</v>
      </c>
    </row>
    <row r="1664" spans="1:2" x14ac:dyDescent="0.3">
      <c r="A1664" s="113" t="s">
        <v>46</v>
      </c>
      <c r="B1664" s="113" t="s">
        <v>29</v>
      </c>
    </row>
    <row r="1665" spans="1:2" x14ac:dyDescent="0.3">
      <c r="A1665" s="113" t="s">
        <v>46</v>
      </c>
      <c r="B1665" s="113" t="s">
        <v>29</v>
      </c>
    </row>
    <row r="1666" spans="1:2" x14ac:dyDescent="0.3">
      <c r="A1666" s="113" t="s">
        <v>46</v>
      </c>
      <c r="B1666" s="113" t="s">
        <v>29</v>
      </c>
    </row>
    <row r="1667" spans="1:2" x14ac:dyDescent="0.3">
      <c r="A1667" s="113" t="s">
        <v>46</v>
      </c>
      <c r="B1667" s="113" t="s">
        <v>29</v>
      </c>
    </row>
    <row r="1668" spans="1:2" x14ac:dyDescent="0.3">
      <c r="A1668" s="113" t="s">
        <v>46</v>
      </c>
      <c r="B1668" s="113" t="s">
        <v>29</v>
      </c>
    </row>
    <row r="1669" spans="1:2" x14ac:dyDescent="0.3">
      <c r="A1669" s="113" t="s">
        <v>46</v>
      </c>
      <c r="B1669" s="113" t="s">
        <v>29</v>
      </c>
    </row>
    <row r="1670" spans="1:2" x14ac:dyDescent="0.3">
      <c r="A1670" s="113" t="s">
        <v>46</v>
      </c>
      <c r="B1670" s="113" t="s">
        <v>29</v>
      </c>
    </row>
    <row r="1671" spans="1:2" x14ac:dyDescent="0.3">
      <c r="A1671" s="113" t="s">
        <v>46</v>
      </c>
      <c r="B1671" s="113" t="s">
        <v>29</v>
      </c>
    </row>
    <row r="1672" spans="1:2" x14ac:dyDescent="0.3">
      <c r="A1672" s="113" t="s">
        <v>46</v>
      </c>
      <c r="B1672" s="113" t="s">
        <v>29</v>
      </c>
    </row>
    <row r="1673" spans="1:2" x14ac:dyDescent="0.3">
      <c r="A1673" s="113" t="s">
        <v>46</v>
      </c>
      <c r="B1673" s="113" t="s">
        <v>29</v>
      </c>
    </row>
    <row r="1674" spans="1:2" x14ac:dyDescent="0.3">
      <c r="A1674" s="113" t="s">
        <v>46</v>
      </c>
      <c r="B1674" s="113" t="s">
        <v>29</v>
      </c>
    </row>
    <row r="1675" spans="1:2" x14ac:dyDescent="0.3">
      <c r="A1675" s="113" t="s">
        <v>46</v>
      </c>
      <c r="B1675" s="113" t="s">
        <v>29</v>
      </c>
    </row>
    <row r="1676" spans="1:2" x14ac:dyDescent="0.3">
      <c r="A1676" s="113" t="s">
        <v>46</v>
      </c>
      <c r="B1676" s="113" t="s">
        <v>29</v>
      </c>
    </row>
    <row r="1677" spans="1:2" x14ac:dyDescent="0.3">
      <c r="A1677" s="113" t="s">
        <v>46</v>
      </c>
      <c r="B1677" s="113" t="s">
        <v>29</v>
      </c>
    </row>
    <row r="1678" spans="1:2" x14ac:dyDescent="0.3">
      <c r="A1678" s="113" t="s">
        <v>46</v>
      </c>
      <c r="B1678" s="113" t="s">
        <v>29</v>
      </c>
    </row>
    <row r="1679" spans="1:2" x14ac:dyDescent="0.3">
      <c r="A1679" s="113" t="s">
        <v>46</v>
      </c>
      <c r="B1679" s="113" t="s">
        <v>29</v>
      </c>
    </row>
    <row r="1680" spans="1:2" x14ac:dyDescent="0.3">
      <c r="A1680" s="113" t="s">
        <v>46</v>
      </c>
      <c r="B1680" s="113" t="s">
        <v>29</v>
      </c>
    </row>
    <row r="1681" spans="1:2" x14ac:dyDescent="0.3">
      <c r="A1681" s="113" t="s">
        <v>46</v>
      </c>
      <c r="B1681" s="113" t="s">
        <v>29</v>
      </c>
    </row>
    <row r="1682" spans="1:2" x14ac:dyDescent="0.3">
      <c r="A1682" s="113" t="s">
        <v>46</v>
      </c>
      <c r="B1682" s="113" t="s">
        <v>29</v>
      </c>
    </row>
    <row r="1683" spans="1:2" x14ac:dyDescent="0.3">
      <c r="A1683" s="113" t="s">
        <v>46</v>
      </c>
      <c r="B1683" s="113" t="s">
        <v>29</v>
      </c>
    </row>
    <row r="1684" spans="1:2" x14ac:dyDescent="0.3">
      <c r="A1684" s="113" t="s">
        <v>46</v>
      </c>
      <c r="B1684" s="113" t="s">
        <v>29</v>
      </c>
    </row>
    <row r="1685" spans="1:2" x14ac:dyDescent="0.3">
      <c r="A1685" s="113" t="s">
        <v>46</v>
      </c>
      <c r="B1685" s="113" t="s">
        <v>29</v>
      </c>
    </row>
    <row r="1686" spans="1:2" x14ac:dyDescent="0.3">
      <c r="A1686" s="113" t="s">
        <v>46</v>
      </c>
      <c r="B1686" s="113" t="s">
        <v>29</v>
      </c>
    </row>
    <row r="1687" spans="1:2" x14ac:dyDescent="0.3">
      <c r="A1687" s="113" t="s">
        <v>46</v>
      </c>
      <c r="B1687" s="113" t="s">
        <v>29</v>
      </c>
    </row>
    <row r="1688" spans="1:2" x14ac:dyDescent="0.3">
      <c r="A1688" s="113" t="s">
        <v>46</v>
      </c>
      <c r="B1688" s="113" t="s">
        <v>29</v>
      </c>
    </row>
    <row r="1689" spans="1:2" x14ac:dyDescent="0.3">
      <c r="A1689" s="113" t="s">
        <v>46</v>
      </c>
      <c r="B1689" s="113" t="s">
        <v>29</v>
      </c>
    </row>
    <row r="1690" spans="1:2" x14ac:dyDescent="0.3">
      <c r="A1690" s="113" t="s">
        <v>46</v>
      </c>
      <c r="B1690" s="113" t="s">
        <v>29</v>
      </c>
    </row>
    <row r="1691" spans="1:2" x14ac:dyDescent="0.3">
      <c r="A1691" s="113" t="s">
        <v>46</v>
      </c>
      <c r="B1691" s="113" t="s">
        <v>29</v>
      </c>
    </row>
    <row r="1692" spans="1:2" x14ac:dyDescent="0.3">
      <c r="A1692" s="113" t="s">
        <v>46</v>
      </c>
      <c r="B1692" s="113" t="s">
        <v>29</v>
      </c>
    </row>
    <row r="1693" spans="1:2" x14ac:dyDescent="0.3">
      <c r="A1693" s="113" t="s">
        <v>46</v>
      </c>
      <c r="B1693" s="113" t="s">
        <v>29</v>
      </c>
    </row>
    <row r="1694" spans="1:2" x14ac:dyDescent="0.3">
      <c r="A1694" s="113" t="s">
        <v>46</v>
      </c>
      <c r="B1694" s="113" t="s">
        <v>29</v>
      </c>
    </row>
    <row r="1695" spans="1:2" x14ac:dyDescent="0.3">
      <c r="A1695" s="113" t="s">
        <v>46</v>
      </c>
      <c r="B1695" s="113" t="s">
        <v>29</v>
      </c>
    </row>
    <row r="1696" spans="1:2" x14ac:dyDescent="0.3">
      <c r="A1696" s="113" t="s">
        <v>46</v>
      </c>
      <c r="B1696" s="113" t="s">
        <v>29</v>
      </c>
    </row>
    <row r="1697" spans="1:2" x14ac:dyDescent="0.3">
      <c r="A1697" s="113" t="s">
        <v>46</v>
      </c>
      <c r="B1697" s="113" t="s">
        <v>29</v>
      </c>
    </row>
    <row r="1698" spans="1:2" x14ac:dyDescent="0.3">
      <c r="A1698" s="113" t="s">
        <v>46</v>
      </c>
      <c r="B1698" s="113" t="s">
        <v>29</v>
      </c>
    </row>
    <row r="1699" spans="1:2" x14ac:dyDescent="0.3">
      <c r="A1699" s="113" t="s">
        <v>46</v>
      </c>
      <c r="B1699" s="113" t="s">
        <v>29</v>
      </c>
    </row>
    <row r="1700" spans="1:2" x14ac:dyDescent="0.3">
      <c r="A1700" s="113" t="s">
        <v>46</v>
      </c>
      <c r="B1700" s="113" t="s">
        <v>29</v>
      </c>
    </row>
    <row r="1701" spans="1:2" x14ac:dyDescent="0.3">
      <c r="A1701" s="113" t="s">
        <v>46</v>
      </c>
      <c r="B1701" s="113" t="s">
        <v>29</v>
      </c>
    </row>
    <row r="1702" spans="1:2" x14ac:dyDescent="0.3">
      <c r="A1702" s="113" t="s">
        <v>46</v>
      </c>
      <c r="B1702" s="113" t="s">
        <v>29</v>
      </c>
    </row>
    <row r="1703" spans="1:2" x14ac:dyDescent="0.3">
      <c r="A1703" s="113" t="s">
        <v>46</v>
      </c>
      <c r="B1703" s="113" t="s">
        <v>29</v>
      </c>
    </row>
    <row r="1704" spans="1:2" x14ac:dyDescent="0.3">
      <c r="A1704" s="113" t="s">
        <v>46</v>
      </c>
      <c r="B1704" s="113" t="s">
        <v>29</v>
      </c>
    </row>
    <row r="1705" spans="1:2" x14ac:dyDescent="0.3">
      <c r="A1705" s="113" t="s">
        <v>46</v>
      </c>
      <c r="B1705" s="113" t="s">
        <v>29</v>
      </c>
    </row>
    <row r="1706" spans="1:2" x14ac:dyDescent="0.3">
      <c r="A1706" s="113" t="s">
        <v>46</v>
      </c>
      <c r="B1706" s="113" t="s">
        <v>29</v>
      </c>
    </row>
    <row r="1707" spans="1:2" x14ac:dyDescent="0.3">
      <c r="A1707" s="113" t="s">
        <v>46</v>
      </c>
      <c r="B1707" s="113" t="s">
        <v>29</v>
      </c>
    </row>
    <row r="1708" spans="1:2" x14ac:dyDescent="0.3">
      <c r="A1708" s="113" t="s">
        <v>46</v>
      </c>
      <c r="B1708" s="113" t="s">
        <v>29</v>
      </c>
    </row>
    <row r="1709" spans="1:2" x14ac:dyDescent="0.3">
      <c r="A1709" s="113" t="s">
        <v>46</v>
      </c>
      <c r="B1709" s="113" t="s">
        <v>29</v>
      </c>
    </row>
    <row r="1710" spans="1:2" x14ac:dyDescent="0.3">
      <c r="A1710" s="113" t="s">
        <v>46</v>
      </c>
      <c r="B1710" s="113" t="s">
        <v>29</v>
      </c>
    </row>
    <row r="1711" spans="1:2" x14ac:dyDescent="0.3">
      <c r="A1711" s="113" t="s">
        <v>46</v>
      </c>
      <c r="B1711" s="113" t="s">
        <v>29</v>
      </c>
    </row>
    <row r="1712" spans="1:2" x14ac:dyDescent="0.3">
      <c r="A1712" s="113" t="s">
        <v>46</v>
      </c>
      <c r="B1712" s="113" t="s">
        <v>29</v>
      </c>
    </row>
    <row r="1713" spans="1:2" x14ac:dyDescent="0.3">
      <c r="A1713" s="113" t="s">
        <v>46</v>
      </c>
      <c r="B1713" s="113" t="s">
        <v>29</v>
      </c>
    </row>
    <row r="1714" spans="1:2" x14ac:dyDescent="0.3">
      <c r="A1714" s="113" t="s">
        <v>46</v>
      </c>
      <c r="B1714" s="113" t="s">
        <v>29</v>
      </c>
    </row>
    <row r="1715" spans="1:2" x14ac:dyDescent="0.3">
      <c r="A1715" s="113" t="s">
        <v>46</v>
      </c>
      <c r="B1715" s="113" t="s">
        <v>29</v>
      </c>
    </row>
    <row r="1716" spans="1:2" x14ac:dyDescent="0.3">
      <c r="A1716" s="113" t="s">
        <v>46</v>
      </c>
      <c r="B1716" s="113" t="s">
        <v>29</v>
      </c>
    </row>
    <row r="1717" spans="1:2" x14ac:dyDescent="0.3">
      <c r="A1717" s="113" t="s">
        <v>46</v>
      </c>
      <c r="B1717" s="113" t="s">
        <v>29</v>
      </c>
    </row>
    <row r="1718" spans="1:2" x14ac:dyDescent="0.3">
      <c r="A1718" s="113" t="s">
        <v>46</v>
      </c>
      <c r="B1718" s="113" t="s">
        <v>29</v>
      </c>
    </row>
    <row r="1719" spans="1:2" x14ac:dyDescent="0.3">
      <c r="A1719" s="113" t="s">
        <v>46</v>
      </c>
      <c r="B1719" s="113" t="s">
        <v>29</v>
      </c>
    </row>
    <row r="1720" spans="1:2" x14ac:dyDescent="0.3">
      <c r="A1720" s="113" t="s">
        <v>46</v>
      </c>
      <c r="B1720" s="113" t="s">
        <v>29</v>
      </c>
    </row>
    <row r="1721" spans="1:2" x14ac:dyDescent="0.3">
      <c r="A1721" s="113" t="s">
        <v>46</v>
      </c>
      <c r="B1721" s="113" t="s">
        <v>29</v>
      </c>
    </row>
    <row r="1722" spans="1:2" x14ac:dyDescent="0.3">
      <c r="A1722" s="113" t="s">
        <v>46</v>
      </c>
      <c r="B1722" s="113" t="s">
        <v>29</v>
      </c>
    </row>
    <row r="1723" spans="1:2" x14ac:dyDescent="0.3">
      <c r="A1723" s="113" t="s">
        <v>46</v>
      </c>
      <c r="B1723" s="113" t="s">
        <v>29</v>
      </c>
    </row>
    <row r="1724" spans="1:2" x14ac:dyDescent="0.3">
      <c r="A1724" s="113" t="s">
        <v>46</v>
      </c>
      <c r="B1724" s="113" t="s">
        <v>29</v>
      </c>
    </row>
    <row r="1725" spans="1:2" x14ac:dyDescent="0.3">
      <c r="A1725" s="113" t="s">
        <v>46</v>
      </c>
      <c r="B1725" s="113" t="s">
        <v>29</v>
      </c>
    </row>
    <row r="1726" spans="1:2" x14ac:dyDescent="0.3">
      <c r="A1726" s="113" t="s">
        <v>46</v>
      </c>
      <c r="B1726" s="113" t="s">
        <v>29</v>
      </c>
    </row>
    <row r="1727" spans="1:2" x14ac:dyDescent="0.3">
      <c r="A1727" s="113" t="s">
        <v>46</v>
      </c>
      <c r="B1727" s="113" t="s">
        <v>29</v>
      </c>
    </row>
    <row r="1728" spans="1:2" x14ac:dyDescent="0.3">
      <c r="A1728" s="113" t="s">
        <v>46</v>
      </c>
      <c r="B1728" s="113" t="s">
        <v>29</v>
      </c>
    </row>
    <row r="1729" spans="1:2" x14ac:dyDescent="0.3">
      <c r="A1729" s="113" t="s">
        <v>46</v>
      </c>
      <c r="B1729" s="113" t="s">
        <v>29</v>
      </c>
    </row>
    <row r="1730" spans="1:2" x14ac:dyDescent="0.3">
      <c r="A1730" s="113" t="s">
        <v>46</v>
      </c>
      <c r="B1730" s="113" t="s">
        <v>29</v>
      </c>
    </row>
    <row r="1731" spans="1:2" x14ac:dyDescent="0.3">
      <c r="A1731" s="113" t="s">
        <v>46</v>
      </c>
      <c r="B1731" s="113" t="s">
        <v>29</v>
      </c>
    </row>
    <row r="1732" spans="1:2" x14ac:dyDescent="0.3">
      <c r="A1732" s="113" t="s">
        <v>46</v>
      </c>
      <c r="B1732" s="113" t="s">
        <v>29</v>
      </c>
    </row>
    <row r="1733" spans="1:2" x14ac:dyDescent="0.3">
      <c r="A1733" s="113" t="s">
        <v>46</v>
      </c>
      <c r="B1733" s="113" t="s">
        <v>29</v>
      </c>
    </row>
    <row r="1734" spans="1:2" x14ac:dyDescent="0.3">
      <c r="A1734" s="113" t="s">
        <v>46</v>
      </c>
      <c r="B1734" s="113" t="s">
        <v>29</v>
      </c>
    </row>
    <row r="1735" spans="1:2" x14ac:dyDescent="0.3">
      <c r="A1735" s="113" t="s">
        <v>46</v>
      </c>
      <c r="B1735" s="113" t="s">
        <v>29</v>
      </c>
    </row>
    <row r="1736" spans="1:2" x14ac:dyDescent="0.3">
      <c r="A1736" s="113" t="s">
        <v>46</v>
      </c>
      <c r="B1736" s="113" t="s">
        <v>29</v>
      </c>
    </row>
    <row r="1737" spans="1:2" x14ac:dyDescent="0.3">
      <c r="A1737" s="113" t="s">
        <v>46</v>
      </c>
      <c r="B1737" s="113" t="s">
        <v>29</v>
      </c>
    </row>
    <row r="1738" spans="1:2" x14ac:dyDescent="0.3">
      <c r="A1738" s="113" t="s">
        <v>46</v>
      </c>
      <c r="B1738" s="113" t="s">
        <v>29</v>
      </c>
    </row>
    <row r="1739" spans="1:2" x14ac:dyDescent="0.3">
      <c r="A1739" s="113" t="s">
        <v>46</v>
      </c>
      <c r="B1739" s="113" t="s">
        <v>29</v>
      </c>
    </row>
    <row r="1740" spans="1:2" x14ac:dyDescent="0.3">
      <c r="A1740" s="113" t="s">
        <v>46</v>
      </c>
      <c r="B1740" s="113" t="s">
        <v>29</v>
      </c>
    </row>
    <row r="1741" spans="1:2" x14ac:dyDescent="0.3">
      <c r="A1741" s="113" t="s">
        <v>46</v>
      </c>
      <c r="B1741" s="113" t="s">
        <v>29</v>
      </c>
    </row>
    <row r="1742" spans="1:2" x14ac:dyDescent="0.3">
      <c r="A1742" s="113" t="s">
        <v>46</v>
      </c>
      <c r="B1742" s="113" t="s">
        <v>29</v>
      </c>
    </row>
    <row r="1743" spans="1:2" x14ac:dyDescent="0.3">
      <c r="A1743" s="113" t="s">
        <v>46</v>
      </c>
      <c r="B1743" s="113" t="s">
        <v>29</v>
      </c>
    </row>
    <row r="1744" spans="1:2" x14ac:dyDescent="0.3">
      <c r="A1744" s="113" t="s">
        <v>46</v>
      </c>
      <c r="B1744" s="113" t="s">
        <v>29</v>
      </c>
    </row>
    <row r="1745" spans="1:2" x14ac:dyDescent="0.3">
      <c r="A1745" s="113" t="s">
        <v>46</v>
      </c>
      <c r="B1745" s="113" t="s">
        <v>29</v>
      </c>
    </row>
    <row r="1746" spans="1:2" x14ac:dyDescent="0.3">
      <c r="A1746" s="113" t="s">
        <v>46</v>
      </c>
      <c r="B1746" s="113" t="s">
        <v>29</v>
      </c>
    </row>
    <row r="1747" spans="1:2" x14ac:dyDescent="0.3">
      <c r="A1747" s="113" t="s">
        <v>46</v>
      </c>
      <c r="B1747" s="113" t="s">
        <v>29</v>
      </c>
    </row>
    <row r="1748" spans="1:2" x14ac:dyDescent="0.3">
      <c r="A1748" s="113" t="s">
        <v>46</v>
      </c>
      <c r="B1748" s="113" t="s">
        <v>29</v>
      </c>
    </row>
    <row r="1749" spans="1:2" x14ac:dyDescent="0.3">
      <c r="A1749" s="113" t="s">
        <v>46</v>
      </c>
      <c r="B1749" s="113" t="s">
        <v>29</v>
      </c>
    </row>
    <row r="1750" spans="1:2" x14ac:dyDescent="0.3">
      <c r="A1750" s="113" t="s">
        <v>46</v>
      </c>
      <c r="B1750" s="113" t="s">
        <v>29</v>
      </c>
    </row>
    <row r="1751" spans="1:2" x14ac:dyDescent="0.3">
      <c r="A1751" s="113" t="s">
        <v>46</v>
      </c>
      <c r="B1751" s="113" t="s">
        <v>29</v>
      </c>
    </row>
    <row r="1752" spans="1:2" x14ac:dyDescent="0.3">
      <c r="A1752" s="113" t="s">
        <v>46</v>
      </c>
      <c r="B1752" s="113" t="s">
        <v>29</v>
      </c>
    </row>
    <row r="1753" spans="1:2" x14ac:dyDescent="0.3">
      <c r="A1753" s="113" t="s">
        <v>46</v>
      </c>
      <c r="B1753" s="113" t="s">
        <v>29</v>
      </c>
    </row>
    <row r="1754" spans="1:2" x14ac:dyDescent="0.3">
      <c r="A1754" s="113" t="s">
        <v>46</v>
      </c>
      <c r="B1754" s="113" t="s">
        <v>29</v>
      </c>
    </row>
    <row r="1755" spans="1:2" x14ac:dyDescent="0.3">
      <c r="A1755" s="113" t="s">
        <v>46</v>
      </c>
      <c r="B1755" s="113" t="s">
        <v>29</v>
      </c>
    </row>
    <row r="1756" spans="1:2" x14ac:dyDescent="0.3">
      <c r="A1756" s="113" t="s">
        <v>46</v>
      </c>
      <c r="B1756" s="113" t="s">
        <v>29</v>
      </c>
    </row>
    <row r="1757" spans="1:2" x14ac:dyDescent="0.3">
      <c r="A1757" s="113" t="s">
        <v>46</v>
      </c>
      <c r="B1757" s="113" t="s">
        <v>29</v>
      </c>
    </row>
    <row r="1758" spans="1:2" x14ac:dyDescent="0.3">
      <c r="A1758" s="113" t="s">
        <v>46</v>
      </c>
      <c r="B1758" s="113" t="s">
        <v>29</v>
      </c>
    </row>
    <row r="1759" spans="1:2" x14ac:dyDescent="0.3">
      <c r="A1759" s="113" t="s">
        <v>46</v>
      </c>
      <c r="B1759" s="113" t="s">
        <v>29</v>
      </c>
    </row>
    <row r="1760" spans="1:2" x14ac:dyDescent="0.3">
      <c r="A1760" s="113" t="s">
        <v>46</v>
      </c>
      <c r="B1760" s="113" t="s">
        <v>29</v>
      </c>
    </row>
    <row r="1761" spans="1:2" x14ac:dyDescent="0.3">
      <c r="A1761" s="113" t="s">
        <v>46</v>
      </c>
      <c r="B1761" s="113" t="s">
        <v>29</v>
      </c>
    </row>
    <row r="1762" spans="1:2" x14ac:dyDescent="0.3">
      <c r="A1762" s="113" t="s">
        <v>46</v>
      </c>
      <c r="B1762" s="113" t="s">
        <v>29</v>
      </c>
    </row>
    <row r="1763" spans="1:2" x14ac:dyDescent="0.3">
      <c r="A1763" s="113" t="s">
        <v>46</v>
      </c>
      <c r="B1763" s="113" t="s">
        <v>29</v>
      </c>
    </row>
    <row r="1764" spans="1:2" x14ac:dyDescent="0.3">
      <c r="A1764" s="113" t="s">
        <v>46</v>
      </c>
      <c r="B1764" s="113" t="s">
        <v>29</v>
      </c>
    </row>
    <row r="1765" spans="1:2" x14ac:dyDescent="0.3">
      <c r="A1765" s="113" t="s">
        <v>46</v>
      </c>
      <c r="B1765" s="113" t="s">
        <v>29</v>
      </c>
    </row>
    <row r="1766" spans="1:2" x14ac:dyDescent="0.3">
      <c r="A1766" s="113" t="s">
        <v>46</v>
      </c>
      <c r="B1766" s="113" t="s">
        <v>29</v>
      </c>
    </row>
    <row r="1767" spans="1:2" x14ac:dyDescent="0.3">
      <c r="A1767" s="113" t="s">
        <v>46</v>
      </c>
      <c r="B1767" s="113" t="s">
        <v>29</v>
      </c>
    </row>
    <row r="1768" spans="1:2" x14ac:dyDescent="0.3">
      <c r="A1768" s="113" t="s">
        <v>46</v>
      </c>
      <c r="B1768" s="113" t="s">
        <v>29</v>
      </c>
    </row>
    <row r="1769" spans="1:2" x14ac:dyDescent="0.3">
      <c r="A1769" s="113" t="s">
        <v>46</v>
      </c>
      <c r="B1769" s="113" t="s">
        <v>29</v>
      </c>
    </row>
    <row r="1770" spans="1:2" x14ac:dyDescent="0.3">
      <c r="A1770" s="113" t="s">
        <v>46</v>
      </c>
      <c r="B1770" s="113" t="s">
        <v>29</v>
      </c>
    </row>
    <row r="1771" spans="1:2" x14ac:dyDescent="0.3">
      <c r="A1771" s="113" t="s">
        <v>46</v>
      </c>
      <c r="B1771" s="113" t="s">
        <v>29</v>
      </c>
    </row>
    <row r="1772" spans="1:2" x14ac:dyDescent="0.3">
      <c r="A1772" s="113" t="s">
        <v>46</v>
      </c>
      <c r="B1772" s="113" t="s">
        <v>29</v>
      </c>
    </row>
    <row r="1773" spans="1:2" x14ac:dyDescent="0.3">
      <c r="A1773" s="113" t="s">
        <v>46</v>
      </c>
      <c r="B1773" s="113" t="s">
        <v>29</v>
      </c>
    </row>
    <row r="1774" spans="1:2" x14ac:dyDescent="0.3">
      <c r="A1774" s="113" t="s">
        <v>46</v>
      </c>
      <c r="B1774" s="113" t="s">
        <v>29</v>
      </c>
    </row>
    <row r="1775" spans="1:2" x14ac:dyDescent="0.3">
      <c r="A1775" s="113" t="s">
        <v>46</v>
      </c>
      <c r="B1775" s="113" t="s">
        <v>29</v>
      </c>
    </row>
    <row r="1776" spans="1:2" x14ac:dyDescent="0.3">
      <c r="A1776" s="113" t="s">
        <v>46</v>
      </c>
      <c r="B1776" s="113" t="s">
        <v>29</v>
      </c>
    </row>
    <row r="1777" spans="1:2" x14ac:dyDescent="0.3">
      <c r="A1777" s="113" t="s">
        <v>46</v>
      </c>
      <c r="B1777" s="113" t="s">
        <v>29</v>
      </c>
    </row>
    <row r="1778" spans="1:2" x14ac:dyDescent="0.3">
      <c r="A1778" s="113" t="s">
        <v>46</v>
      </c>
      <c r="B1778" s="113" t="s">
        <v>29</v>
      </c>
    </row>
    <row r="1779" spans="1:2" x14ac:dyDescent="0.3">
      <c r="A1779" s="113" t="s">
        <v>46</v>
      </c>
      <c r="B1779" s="113" t="s">
        <v>29</v>
      </c>
    </row>
    <row r="1780" spans="1:2" x14ac:dyDescent="0.3">
      <c r="A1780" s="113" t="s">
        <v>46</v>
      </c>
      <c r="B1780" s="113" t="s">
        <v>29</v>
      </c>
    </row>
    <row r="1781" spans="1:2" x14ac:dyDescent="0.3">
      <c r="A1781" s="113" t="s">
        <v>46</v>
      </c>
      <c r="B1781" s="113" t="s">
        <v>29</v>
      </c>
    </row>
    <row r="1782" spans="1:2" x14ac:dyDescent="0.3">
      <c r="A1782" s="113" t="s">
        <v>46</v>
      </c>
      <c r="B1782" s="113" t="s">
        <v>29</v>
      </c>
    </row>
    <row r="1783" spans="1:2" x14ac:dyDescent="0.3">
      <c r="A1783" s="113" t="s">
        <v>46</v>
      </c>
      <c r="B1783" s="113" t="s">
        <v>29</v>
      </c>
    </row>
    <row r="1784" spans="1:2" x14ac:dyDescent="0.3">
      <c r="A1784" s="113" t="s">
        <v>46</v>
      </c>
      <c r="B1784" s="113" t="s">
        <v>29</v>
      </c>
    </row>
    <row r="1785" spans="1:2" x14ac:dyDescent="0.3">
      <c r="A1785" s="113" t="s">
        <v>46</v>
      </c>
      <c r="B1785" s="113" t="s">
        <v>29</v>
      </c>
    </row>
    <row r="1786" spans="1:2" x14ac:dyDescent="0.3">
      <c r="A1786" s="113" t="s">
        <v>46</v>
      </c>
      <c r="B1786" s="113" t="s">
        <v>29</v>
      </c>
    </row>
    <row r="1787" spans="1:2" x14ac:dyDescent="0.3">
      <c r="A1787" s="113" t="s">
        <v>46</v>
      </c>
      <c r="B1787" s="113" t="s">
        <v>29</v>
      </c>
    </row>
    <row r="1788" spans="1:2" x14ac:dyDescent="0.3">
      <c r="A1788" s="113" t="s">
        <v>46</v>
      </c>
      <c r="B1788" s="113" t="s">
        <v>29</v>
      </c>
    </row>
    <row r="1789" spans="1:2" x14ac:dyDescent="0.3">
      <c r="A1789" s="113" t="s">
        <v>46</v>
      </c>
      <c r="B1789" s="113" t="s">
        <v>29</v>
      </c>
    </row>
    <row r="1790" spans="1:2" x14ac:dyDescent="0.3">
      <c r="A1790" s="113" t="s">
        <v>46</v>
      </c>
      <c r="B1790" s="113" t="s">
        <v>29</v>
      </c>
    </row>
    <row r="1791" spans="1:2" x14ac:dyDescent="0.3">
      <c r="A1791" s="113" t="s">
        <v>46</v>
      </c>
      <c r="B1791" s="113" t="s">
        <v>29</v>
      </c>
    </row>
    <row r="1792" spans="1:2" x14ac:dyDescent="0.3">
      <c r="A1792" s="113" t="s">
        <v>46</v>
      </c>
      <c r="B1792" s="113" t="s">
        <v>29</v>
      </c>
    </row>
    <row r="1793" spans="1:2" x14ac:dyDescent="0.3">
      <c r="A1793" s="113" t="s">
        <v>46</v>
      </c>
      <c r="B1793" s="113" t="s">
        <v>29</v>
      </c>
    </row>
    <row r="1794" spans="1:2" x14ac:dyDescent="0.3">
      <c r="A1794" s="113" t="s">
        <v>46</v>
      </c>
      <c r="B1794" s="113" t="s">
        <v>29</v>
      </c>
    </row>
    <row r="1795" spans="1:2" x14ac:dyDescent="0.3">
      <c r="A1795" s="113" t="s">
        <v>46</v>
      </c>
      <c r="B1795" s="113" t="s">
        <v>29</v>
      </c>
    </row>
    <row r="1796" spans="1:2" x14ac:dyDescent="0.3">
      <c r="A1796" s="113" t="s">
        <v>46</v>
      </c>
      <c r="B1796" s="113" t="s">
        <v>29</v>
      </c>
    </row>
    <row r="1797" spans="1:2" x14ac:dyDescent="0.3">
      <c r="A1797" s="113" t="s">
        <v>46</v>
      </c>
      <c r="B1797" s="113" t="s">
        <v>29</v>
      </c>
    </row>
    <row r="1798" spans="1:2" x14ac:dyDescent="0.3">
      <c r="A1798" s="113" t="s">
        <v>46</v>
      </c>
      <c r="B1798" s="113" t="s">
        <v>29</v>
      </c>
    </row>
    <row r="1799" spans="1:2" x14ac:dyDescent="0.3">
      <c r="A1799" s="113" t="s">
        <v>46</v>
      </c>
      <c r="B1799" s="113" t="s">
        <v>29</v>
      </c>
    </row>
    <row r="1800" spans="1:2" x14ac:dyDescent="0.3">
      <c r="A1800" s="113" t="s">
        <v>46</v>
      </c>
      <c r="B1800" s="113" t="s">
        <v>29</v>
      </c>
    </row>
    <row r="1801" spans="1:2" x14ac:dyDescent="0.3">
      <c r="A1801" s="113" t="s">
        <v>46</v>
      </c>
      <c r="B1801" s="113" t="s">
        <v>29</v>
      </c>
    </row>
    <row r="1802" spans="1:2" x14ac:dyDescent="0.3">
      <c r="A1802" s="113" t="s">
        <v>46</v>
      </c>
      <c r="B1802" s="113" t="s">
        <v>29</v>
      </c>
    </row>
    <row r="1803" spans="1:2" x14ac:dyDescent="0.3">
      <c r="A1803" s="113" t="s">
        <v>46</v>
      </c>
      <c r="B1803" s="113" t="s">
        <v>29</v>
      </c>
    </row>
    <row r="1804" spans="1:2" x14ac:dyDescent="0.3">
      <c r="A1804" s="113" t="s">
        <v>46</v>
      </c>
      <c r="B1804" s="113" t="s">
        <v>29</v>
      </c>
    </row>
    <row r="1805" spans="1:2" x14ac:dyDescent="0.3">
      <c r="A1805" s="113" t="s">
        <v>46</v>
      </c>
      <c r="B1805" s="113" t="s">
        <v>29</v>
      </c>
    </row>
    <row r="1806" spans="1:2" x14ac:dyDescent="0.3">
      <c r="A1806" s="113" t="s">
        <v>46</v>
      </c>
      <c r="B1806" s="113" t="s">
        <v>29</v>
      </c>
    </row>
    <row r="1807" spans="1:2" x14ac:dyDescent="0.3">
      <c r="A1807" s="113" t="s">
        <v>46</v>
      </c>
      <c r="B1807" s="113" t="s">
        <v>29</v>
      </c>
    </row>
    <row r="1808" spans="1:2" x14ac:dyDescent="0.3">
      <c r="A1808" s="113" t="s">
        <v>46</v>
      </c>
      <c r="B1808" s="113" t="s">
        <v>29</v>
      </c>
    </row>
    <row r="1809" spans="1:2" x14ac:dyDescent="0.3">
      <c r="A1809" s="113" t="s">
        <v>46</v>
      </c>
      <c r="B1809" s="113" t="s">
        <v>29</v>
      </c>
    </row>
    <row r="1810" spans="1:2" x14ac:dyDescent="0.3">
      <c r="A1810" s="113" t="s">
        <v>46</v>
      </c>
      <c r="B1810" s="113" t="s">
        <v>29</v>
      </c>
    </row>
    <row r="1811" spans="1:2" x14ac:dyDescent="0.3">
      <c r="A1811" s="113" t="s">
        <v>46</v>
      </c>
      <c r="B1811" s="113" t="s">
        <v>29</v>
      </c>
    </row>
    <row r="1812" spans="1:2" x14ac:dyDescent="0.3">
      <c r="A1812" s="113" t="s">
        <v>46</v>
      </c>
      <c r="B1812" s="113" t="s">
        <v>29</v>
      </c>
    </row>
    <row r="1813" spans="1:2" x14ac:dyDescent="0.3">
      <c r="A1813" s="113" t="s">
        <v>46</v>
      </c>
      <c r="B1813" s="113" t="s">
        <v>29</v>
      </c>
    </row>
    <row r="1814" spans="1:2" x14ac:dyDescent="0.3">
      <c r="A1814" s="113" t="s">
        <v>46</v>
      </c>
      <c r="B1814" s="113" t="s">
        <v>29</v>
      </c>
    </row>
    <row r="1815" spans="1:2" x14ac:dyDescent="0.3">
      <c r="A1815" s="113" t="s">
        <v>46</v>
      </c>
      <c r="B1815" s="113" t="s">
        <v>29</v>
      </c>
    </row>
    <row r="1816" spans="1:2" x14ac:dyDescent="0.3">
      <c r="A1816" s="113" t="s">
        <v>46</v>
      </c>
      <c r="B1816" s="113" t="s">
        <v>29</v>
      </c>
    </row>
    <row r="1817" spans="1:2" x14ac:dyDescent="0.3">
      <c r="A1817" s="113" t="s">
        <v>46</v>
      </c>
      <c r="B1817" s="113" t="s">
        <v>29</v>
      </c>
    </row>
    <row r="1818" spans="1:2" x14ac:dyDescent="0.3">
      <c r="A1818" s="113" t="s">
        <v>46</v>
      </c>
      <c r="B1818" s="113" t="s">
        <v>29</v>
      </c>
    </row>
    <row r="1819" spans="1:2" x14ac:dyDescent="0.3">
      <c r="A1819" s="113" t="s">
        <v>46</v>
      </c>
      <c r="B1819" s="113" t="s">
        <v>29</v>
      </c>
    </row>
    <row r="1820" spans="1:2" x14ac:dyDescent="0.3">
      <c r="A1820" s="113" t="s">
        <v>46</v>
      </c>
      <c r="B1820" s="113" t="s">
        <v>29</v>
      </c>
    </row>
    <row r="1821" spans="1:2" x14ac:dyDescent="0.3">
      <c r="A1821" s="113" t="s">
        <v>46</v>
      </c>
      <c r="B1821" s="113" t="s">
        <v>29</v>
      </c>
    </row>
    <row r="1822" spans="1:2" x14ac:dyDescent="0.3">
      <c r="A1822" s="113" t="s">
        <v>46</v>
      </c>
      <c r="B1822" s="113" t="s">
        <v>29</v>
      </c>
    </row>
    <row r="1823" spans="1:2" x14ac:dyDescent="0.3">
      <c r="A1823" s="113" t="s">
        <v>46</v>
      </c>
      <c r="B1823" s="113" t="s">
        <v>29</v>
      </c>
    </row>
    <row r="1824" spans="1:2" x14ac:dyDescent="0.3">
      <c r="A1824" s="113" t="s">
        <v>46</v>
      </c>
      <c r="B1824" s="113" t="s">
        <v>29</v>
      </c>
    </row>
    <row r="1825" spans="1:2" x14ac:dyDescent="0.3">
      <c r="A1825" s="113" t="s">
        <v>46</v>
      </c>
      <c r="B1825" s="113" t="s">
        <v>29</v>
      </c>
    </row>
    <row r="1826" spans="1:2" x14ac:dyDescent="0.3">
      <c r="A1826" s="113" t="s">
        <v>46</v>
      </c>
      <c r="B1826" s="113" t="s">
        <v>29</v>
      </c>
    </row>
    <row r="1827" spans="1:2" x14ac:dyDescent="0.3">
      <c r="A1827" s="113" t="s">
        <v>46</v>
      </c>
      <c r="B1827" s="113" t="s">
        <v>29</v>
      </c>
    </row>
    <row r="1828" spans="1:2" x14ac:dyDescent="0.3">
      <c r="A1828" s="113" t="s">
        <v>46</v>
      </c>
      <c r="B1828" s="113" t="s">
        <v>29</v>
      </c>
    </row>
    <row r="1829" spans="1:2" x14ac:dyDescent="0.3">
      <c r="A1829" s="113" t="s">
        <v>46</v>
      </c>
      <c r="B1829" s="113" t="s">
        <v>29</v>
      </c>
    </row>
    <row r="1830" spans="1:2" x14ac:dyDescent="0.3">
      <c r="A1830" s="113" t="s">
        <v>46</v>
      </c>
      <c r="B1830" s="113" t="s">
        <v>29</v>
      </c>
    </row>
    <row r="1831" spans="1:2" x14ac:dyDescent="0.3">
      <c r="A1831" s="113" t="s">
        <v>46</v>
      </c>
      <c r="B1831" s="113" t="s">
        <v>29</v>
      </c>
    </row>
    <row r="1832" spans="1:2" x14ac:dyDescent="0.3">
      <c r="A1832" s="113" t="s">
        <v>46</v>
      </c>
      <c r="B1832" s="113" t="s">
        <v>29</v>
      </c>
    </row>
    <row r="1833" spans="1:2" x14ac:dyDescent="0.3">
      <c r="A1833" s="113" t="s">
        <v>46</v>
      </c>
      <c r="B1833" s="113" t="s">
        <v>29</v>
      </c>
    </row>
    <row r="1834" spans="1:2" x14ac:dyDescent="0.3">
      <c r="A1834" s="113" t="s">
        <v>46</v>
      </c>
      <c r="B1834" s="113" t="s">
        <v>29</v>
      </c>
    </row>
    <row r="1835" spans="1:2" x14ac:dyDescent="0.3">
      <c r="A1835" s="113" t="s">
        <v>46</v>
      </c>
      <c r="B1835" s="113" t="s">
        <v>29</v>
      </c>
    </row>
    <row r="1836" spans="1:2" x14ac:dyDescent="0.3">
      <c r="A1836" s="113" t="s">
        <v>46</v>
      </c>
      <c r="B1836" s="113" t="s">
        <v>29</v>
      </c>
    </row>
    <row r="1837" spans="1:2" x14ac:dyDescent="0.3">
      <c r="A1837" s="113" t="s">
        <v>46</v>
      </c>
      <c r="B1837" s="113" t="s">
        <v>29</v>
      </c>
    </row>
    <row r="1838" spans="1:2" x14ac:dyDescent="0.3">
      <c r="A1838" s="113" t="s">
        <v>46</v>
      </c>
      <c r="B1838" s="113" t="s">
        <v>29</v>
      </c>
    </row>
    <row r="1839" spans="1:2" x14ac:dyDescent="0.3">
      <c r="A1839" s="113" t="s">
        <v>46</v>
      </c>
      <c r="B1839" s="113" t="s">
        <v>29</v>
      </c>
    </row>
    <row r="1840" spans="1:2" x14ac:dyDescent="0.3">
      <c r="A1840" s="113" t="s">
        <v>46</v>
      </c>
      <c r="B1840" s="113" t="s">
        <v>29</v>
      </c>
    </row>
    <row r="1841" spans="1:2" x14ac:dyDescent="0.3">
      <c r="A1841" s="113" t="s">
        <v>46</v>
      </c>
      <c r="B1841" s="113" t="s">
        <v>29</v>
      </c>
    </row>
    <row r="1842" spans="1:2" x14ac:dyDescent="0.3">
      <c r="A1842" s="113" t="s">
        <v>46</v>
      </c>
      <c r="B1842" s="113" t="s">
        <v>29</v>
      </c>
    </row>
    <row r="1843" spans="1:2" x14ac:dyDescent="0.3">
      <c r="A1843" s="113" t="s">
        <v>46</v>
      </c>
      <c r="B1843" s="113" t="s">
        <v>29</v>
      </c>
    </row>
    <row r="1844" spans="1:2" x14ac:dyDescent="0.3">
      <c r="A1844" s="113" t="s">
        <v>46</v>
      </c>
      <c r="B1844" s="113" t="s">
        <v>29</v>
      </c>
    </row>
    <row r="1845" spans="1:2" x14ac:dyDescent="0.3">
      <c r="A1845" s="113" t="s">
        <v>46</v>
      </c>
      <c r="B1845" s="113" t="s">
        <v>29</v>
      </c>
    </row>
    <row r="1846" spans="1:2" x14ac:dyDescent="0.3">
      <c r="A1846" s="113" t="s">
        <v>46</v>
      </c>
      <c r="B1846" s="113" t="s">
        <v>29</v>
      </c>
    </row>
    <row r="1847" spans="1:2" x14ac:dyDescent="0.3">
      <c r="A1847" s="113" t="s">
        <v>46</v>
      </c>
      <c r="B1847" s="113" t="s">
        <v>29</v>
      </c>
    </row>
    <row r="1848" spans="1:2" x14ac:dyDescent="0.3">
      <c r="A1848" s="113" t="s">
        <v>46</v>
      </c>
      <c r="B1848" s="113" t="s">
        <v>29</v>
      </c>
    </row>
    <row r="1849" spans="1:2" x14ac:dyDescent="0.3">
      <c r="A1849" s="113" t="s">
        <v>46</v>
      </c>
      <c r="B1849" s="113" t="s">
        <v>29</v>
      </c>
    </row>
    <row r="1850" spans="1:2" x14ac:dyDescent="0.3">
      <c r="A1850" s="113" t="s">
        <v>46</v>
      </c>
      <c r="B1850" s="113" t="s">
        <v>29</v>
      </c>
    </row>
    <row r="1851" spans="1:2" x14ac:dyDescent="0.3">
      <c r="A1851" s="113" t="s">
        <v>46</v>
      </c>
      <c r="B1851" s="113" t="s">
        <v>29</v>
      </c>
    </row>
    <row r="1852" spans="1:2" x14ac:dyDescent="0.3">
      <c r="A1852" s="113" t="s">
        <v>46</v>
      </c>
      <c r="B1852" s="113" t="s">
        <v>29</v>
      </c>
    </row>
    <row r="1853" spans="1:2" x14ac:dyDescent="0.3">
      <c r="A1853" s="113" t="s">
        <v>46</v>
      </c>
      <c r="B1853" s="113" t="s">
        <v>29</v>
      </c>
    </row>
    <row r="1854" spans="1:2" x14ac:dyDescent="0.3">
      <c r="A1854" s="113" t="s">
        <v>46</v>
      </c>
      <c r="B1854" s="113" t="s">
        <v>29</v>
      </c>
    </row>
    <row r="1855" spans="1:2" x14ac:dyDescent="0.3">
      <c r="A1855" s="113" t="s">
        <v>46</v>
      </c>
      <c r="B1855" s="113" t="s">
        <v>29</v>
      </c>
    </row>
    <row r="1856" spans="1:2" x14ac:dyDescent="0.3">
      <c r="A1856" s="113" t="s">
        <v>46</v>
      </c>
      <c r="B1856" s="113" t="s">
        <v>29</v>
      </c>
    </row>
    <row r="1857" spans="1:2" x14ac:dyDescent="0.3">
      <c r="A1857" s="113" t="s">
        <v>46</v>
      </c>
      <c r="B1857" s="113" t="s">
        <v>29</v>
      </c>
    </row>
    <row r="1858" spans="1:2" x14ac:dyDescent="0.3">
      <c r="A1858" s="113" t="s">
        <v>46</v>
      </c>
      <c r="B1858" s="113" t="s">
        <v>29</v>
      </c>
    </row>
    <row r="1859" spans="1:2" x14ac:dyDescent="0.3">
      <c r="A1859" s="113" t="s">
        <v>46</v>
      </c>
      <c r="B1859" s="113" t="s">
        <v>29</v>
      </c>
    </row>
    <row r="1860" spans="1:2" x14ac:dyDescent="0.3">
      <c r="A1860" s="113" t="s">
        <v>46</v>
      </c>
      <c r="B1860" s="113" t="s">
        <v>29</v>
      </c>
    </row>
    <row r="1861" spans="1:2" x14ac:dyDescent="0.3">
      <c r="A1861" s="113" t="s">
        <v>46</v>
      </c>
      <c r="B1861" s="113" t="s">
        <v>29</v>
      </c>
    </row>
    <row r="1862" spans="1:2" x14ac:dyDescent="0.3">
      <c r="A1862" s="113" t="s">
        <v>46</v>
      </c>
      <c r="B1862" s="113" t="s">
        <v>29</v>
      </c>
    </row>
    <row r="1863" spans="1:2" x14ac:dyDescent="0.3">
      <c r="A1863" s="113" t="s">
        <v>46</v>
      </c>
      <c r="B1863" s="113" t="s">
        <v>29</v>
      </c>
    </row>
    <row r="1864" spans="1:2" x14ac:dyDescent="0.3">
      <c r="A1864" s="113" t="s">
        <v>46</v>
      </c>
      <c r="B1864" s="113" t="s">
        <v>29</v>
      </c>
    </row>
    <row r="1865" spans="1:2" x14ac:dyDescent="0.3">
      <c r="A1865" s="113" t="s">
        <v>46</v>
      </c>
      <c r="B1865" s="113" t="s">
        <v>29</v>
      </c>
    </row>
    <row r="1866" spans="1:2" x14ac:dyDescent="0.3">
      <c r="A1866" s="113" t="s">
        <v>46</v>
      </c>
      <c r="B1866" s="113" t="s">
        <v>29</v>
      </c>
    </row>
    <row r="1867" spans="1:2" x14ac:dyDescent="0.3">
      <c r="A1867" s="113" t="s">
        <v>46</v>
      </c>
      <c r="B1867" s="113" t="s">
        <v>29</v>
      </c>
    </row>
    <row r="1868" spans="1:2" x14ac:dyDescent="0.3">
      <c r="A1868" s="113" t="s">
        <v>46</v>
      </c>
      <c r="B1868" s="113" t="s">
        <v>29</v>
      </c>
    </row>
    <row r="1869" spans="1:2" x14ac:dyDescent="0.3">
      <c r="A1869" s="113" t="s">
        <v>46</v>
      </c>
      <c r="B1869" s="113" t="s">
        <v>29</v>
      </c>
    </row>
    <row r="1870" spans="1:2" x14ac:dyDescent="0.3">
      <c r="A1870" s="113" t="s">
        <v>46</v>
      </c>
      <c r="B1870" s="113" t="s">
        <v>29</v>
      </c>
    </row>
    <row r="1871" spans="1:2" x14ac:dyDescent="0.3">
      <c r="A1871" s="113" t="s">
        <v>46</v>
      </c>
      <c r="B1871" s="113" t="s">
        <v>29</v>
      </c>
    </row>
    <row r="1872" spans="1:2" x14ac:dyDescent="0.3">
      <c r="A1872" s="113" t="s">
        <v>46</v>
      </c>
      <c r="B1872" s="113" t="s">
        <v>29</v>
      </c>
    </row>
    <row r="1873" spans="1:2" x14ac:dyDescent="0.3">
      <c r="A1873" s="113" t="s">
        <v>46</v>
      </c>
      <c r="B1873" s="113" t="s">
        <v>29</v>
      </c>
    </row>
    <row r="1874" spans="1:2" x14ac:dyDescent="0.3">
      <c r="A1874" s="113" t="s">
        <v>46</v>
      </c>
      <c r="B1874" s="113" t="s">
        <v>29</v>
      </c>
    </row>
    <row r="1875" spans="1:2" x14ac:dyDescent="0.3">
      <c r="A1875" s="113" t="s">
        <v>46</v>
      </c>
      <c r="B1875" s="113" t="s">
        <v>29</v>
      </c>
    </row>
    <row r="1876" spans="1:2" x14ac:dyDescent="0.3">
      <c r="A1876" s="113" t="s">
        <v>46</v>
      </c>
      <c r="B1876" s="113" t="s">
        <v>29</v>
      </c>
    </row>
    <row r="1877" spans="1:2" x14ac:dyDescent="0.3">
      <c r="A1877" s="113" t="s">
        <v>46</v>
      </c>
      <c r="B1877" s="113" t="s">
        <v>29</v>
      </c>
    </row>
    <row r="1878" spans="1:2" x14ac:dyDescent="0.3">
      <c r="A1878" s="113" t="s">
        <v>46</v>
      </c>
      <c r="B1878" s="113" t="s">
        <v>29</v>
      </c>
    </row>
    <row r="1879" spans="1:2" x14ac:dyDescent="0.3">
      <c r="A1879" s="113" t="s">
        <v>46</v>
      </c>
      <c r="B1879" s="113" t="s">
        <v>29</v>
      </c>
    </row>
    <row r="1880" spans="1:2" x14ac:dyDescent="0.3">
      <c r="A1880" s="113" t="s">
        <v>46</v>
      </c>
      <c r="B1880" s="113" t="s">
        <v>29</v>
      </c>
    </row>
    <row r="1881" spans="1:2" x14ac:dyDescent="0.3">
      <c r="A1881" s="113" t="s">
        <v>46</v>
      </c>
      <c r="B1881" s="113" t="s">
        <v>29</v>
      </c>
    </row>
    <row r="1882" spans="1:2" x14ac:dyDescent="0.3">
      <c r="A1882" s="113" t="s">
        <v>46</v>
      </c>
      <c r="B1882" s="113" t="s">
        <v>29</v>
      </c>
    </row>
    <row r="1883" spans="1:2" x14ac:dyDescent="0.3">
      <c r="A1883" s="113" t="s">
        <v>46</v>
      </c>
      <c r="B1883" s="113" t="s">
        <v>29</v>
      </c>
    </row>
    <row r="1884" spans="1:2" x14ac:dyDescent="0.3">
      <c r="A1884" s="113" t="s">
        <v>46</v>
      </c>
      <c r="B1884" s="113" t="s">
        <v>29</v>
      </c>
    </row>
    <row r="1885" spans="1:2" x14ac:dyDescent="0.3">
      <c r="A1885" s="113" t="s">
        <v>46</v>
      </c>
      <c r="B1885" s="113" t="s">
        <v>29</v>
      </c>
    </row>
    <row r="1886" spans="1:2" x14ac:dyDescent="0.3">
      <c r="A1886" s="113" t="s">
        <v>46</v>
      </c>
      <c r="B1886" s="113" t="s">
        <v>29</v>
      </c>
    </row>
    <row r="1887" spans="1:2" x14ac:dyDescent="0.3">
      <c r="A1887" s="113" t="s">
        <v>46</v>
      </c>
      <c r="B1887" s="113" t="s">
        <v>29</v>
      </c>
    </row>
    <row r="1888" spans="1:2" x14ac:dyDescent="0.3">
      <c r="A1888" s="113" t="s">
        <v>46</v>
      </c>
      <c r="B1888" s="113" t="s">
        <v>29</v>
      </c>
    </row>
    <row r="1889" spans="1:2" x14ac:dyDescent="0.3">
      <c r="A1889" s="113" t="s">
        <v>46</v>
      </c>
      <c r="B1889" s="113" t="s">
        <v>29</v>
      </c>
    </row>
    <row r="1890" spans="1:2" x14ac:dyDescent="0.3">
      <c r="A1890" s="113" t="s">
        <v>46</v>
      </c>
      <c r="B1890" s="113" t="s">
        <v>29</v>
      </c>
    </row>
    <row r="1891" spans="1:2" x14ac:dyDescent="0.3">
      <c r="A1891" s="113" t="s">
        <v>46</v>
      </c>
      <c r="B1891" s="113" t="s">
        <v>29</v>
      </c>
    </row>
    <row r="1892" spans="1:2" x14ac:dyDescent="0.3">
      <c r="A1892" s="113" t="s">
        <v>46</v>
      </c>
      <c r="B1892" s="113" t="s">
        <v>29</v>
      </c>
    </row>
    <row r="1893" spans="1:2" x14ac:dyDescent="0.3">
      <c r="A1893" s="113" t="s">
        <v>46</v>
      </c>
      <c r="B1893" s="113" t="s">
        <v>29</v>
      </c>
    </row>
    <row r="1894" spans="1:2" x14ac:dyDescent="0.3">
      <c r="A1894" s="113" t="s">
        <v>46</v>
      </c>
      <c r="B1894" s="113" t="s">
        <v>29</v>
      </c>
    </row>
    <row r="1895" spans="1:2" x14ac:dyDescent="0.3">
      <c r="A1895" s="113" t="s">
        <v>46</v>
      </c>
      <c r="B1895" s="113" t="s">
        <v>29</v>
      </c>
    </row>
    <row r="1896" spans="1:2" x14ac:dyDescent="0.3">
      <c r="A1896" s="113" t="s">
        <v>46</v>
      </c>
      <c r="B1896" s="113" t="s">
        <v>29</v>
      </c>
    </row>
    <row r="1897" spans="1:2" x14ac:dyDescent="0.3">
      <c r="A1897" s="113" t="s">
        <v>46</v>
      </c>
      <c r="B1897" s="113" t="s">
        <v>29</v>
      </c>
    </row>
    <row r="1898" spans="1:2" x14ac:dyDescent="0.3">
      <c r="A1898" s="113" t="s">
        <v>46</v>
      </c>
      <c r="B1898" s="113" t="s">
        <v>29</v>
      </c>
    </row>
    <row r="1899" spans="1:2" x14ac:dyDescent="0.3">
      <c r="A1899" s="113" t="s">
        <v>46</v>
      </c>
      <c r="B1899" s="113" t="s">
        <v>29</v>
      </c>
    </row>
    <row r="1900" spans="1:2" x14ac:dyDescent="0.3">
      <c r="A1900" s="113" t="s">
        <v>46</v>
      </c>
      <c r="B1900" s="113" t="s">
        <v>29</v>
      </c>
    </row>
    <row r="1901" spans="1:2" x14ac:dyDescent="0.3">
      <c r="A1901" s="113" t="s">
        <v>46</v>
      </c>
      <c r="B1901" s="113" t="s">
        <v>29</v>
      </c>
    </row>
    <row r="1902" spans="1:2" x14ac:dyDescent="0.3">
      <c r="A1902" s="113" t="s">
        <v>46</v>
      </c>
      <c r="B1902" s="113" t="s">
        <v>29</v>
      </c>
    </row>
    <row r="1903" spans="1:2" x14ac:dyDescent="0.3">
      <c r="A1903" s="113" t="s">
        <v>46</v>
      </c>
      <c r="B1903" s="113" t="s">
        <v>29</v>
      </c>
    </row>
    <row r="1904" spans="1:2" x14ac:dyDescent="0.3">
      <c r="A1904" s="113" t="s">
        <v>46</v>
      </c>
      <c r="B1904" s="113" t="s">
        <v>29</v>
      </c>
    </row>
    <row r="1905" spans="1:2" x14ac:dyDescent="0.3">
      <c r="A1905" s="113" t="s">
        <v>46</v>
      </c>
      <c r="B1905" s="113" t="s">
        <v>29</v>
      </c>
    </row>
    <row r="1906" spans="1:2" x14ac:dyDescent="0.3">
      <c r="A1906" s="113" t="s">
        <v>46</v>
      </c>
      <c r="B1906" s="113" t="s">
        <v>29</v>
      </c>
    </row>
    <row r="1907" spans="1:2" x14ac:dyDescent="0.3">
      <c r="A1907" s="113" t="s">
        <v>46</v>
      </c>
      <c r="B1907" s="113" t="s">
        <v>29</v>
      </c>
    </row>
    <row r="1908" spans="1:2" x14ac:dyDescent="0.3">
      <c r="A1908" s="113" t="s">
        <v>86</v>
      </c>
      <c r="B1908" s="113" t="s">
        <v>17</v>
      </c>
    </row>
    <row r="1909" spans="1:2" x14ac:dyDescent="0.3">
      <c r="A1909" s="113" t="s">
        <v>86</v>
      </c>
      <c r="B1909" s="113" t="s">
        <v>17</v>
      </c>
    </row>
    <row r="1910" spans="1:2" x14ac:dyDescent="0.3">
      <c r="A1910" s="113" t="s">
        <v>83</v>
      </c>
      <c r="B1910" s="113" t="s">
        <v>17</v>
      </c>
    </row>
    <row r="1911" spans="1:2" x14ac:dyDescent="0.3">
      <c r="A1911" s="113" t="s">
        <v>83</v>
      </c>
      <c r="B1911" s="113" t="s">
        <v>17</v>
      </c>
    </row>
    <row r="1912" spans="1:2" x14ac:dyDescent="0.3">
      <c r="A1912" s="113" t="s">
        <v>83</v>
      </c>
      <c r="B1912" s="113" t="s">
        <v>17</v>
      </c>
    </row>
    <row r="1913" spans="1:2" x14ac:dyDescent="0.3">
      <c r="A1913" s="113" t="s">
        <v>83</v>
      </c>
      <c r="B1913" s="113" t="s">
        <v>17</v>
      </c>
    </row>
    <row r="1914" spans="1:2" x14ac:dyDescent="0.3">
      <c r="A1914" s="113" t="s">
        <v>83</v>
      </c>
      <c r="B1914" s="113" t="s">
        <v>17</v>
      </c>
    </row>
    <row r="1915" spans="1:2" x14ac:dyDescent="0.3">
      <c r="A1915" s="113" t="s">
        <v>83</v>
      </c>
      <c r="B1915" s="113" t="s">
        <v>17</v>
      </c>
    </row>
    <row r="1916" spans="1:2" x14ac:dyDescent="0.3">
      <c r="A1916" s="113" t="s">
        <v>83</v>
      </c>
      <c r="B1916" s="113" t="s">
        <v>17</v>
      </c>
    </row>
    <row r="1917" spans="1:2" x14ac:dyDescent="0.3">
      <c r="A1917" s="113" t="s">
        <v>83</v>
      </c>
      <c r="B1917" s="113" t="s">
        <v>17</v>
      </c>
    </row>
    <row r="1918" spans="1:2" x14ac:dyDescent="0.3">
      <c r="A1918" s="113" t="s">
        <v>83</v>
      </c>
      <c r="B1918" s="113" t="s">
        <v>17</v>
      </c>
    </row>
    <row r="1919" spans="1:2" x14ac:dyDescent="0.3">
      <c r="A1919" s="113" t="s">
        <v>83</v>
      </c>
      <c r="B1919" s="113" t="s">
        <v>17</v>
      </c>
    </row>
    <row r="1920" spans="1:2" x14ac:dyDescent="0.3">
      <c r="A1920" s="113" t="s">
        <v>83</v>
      </c>
      <c r="B1920" s="113" t="s">
        <v>17</v>
      </c>
    </row>
    <row r="1921" spans="1:2" x14ac:dyDescent="0.3">
      <c r="A1921" s="113" t="s">
        <v>83</v>
      </c>
      <c r="B1921" s="113" t="s">
        <v>17</v>
      </c>
    </row>
    <row r="1922" spans="1:2" x14ac:dyDescent="0.3">
      <c r="A1922" s="113" t="s">
        <v>83</v>
      </c>
      <c r="B1922" s="113" t="s">
        <v>17</v>
      </c>
    </row>
    <row r="1923" spans="1:2" x14ac:dyDescent="0.3">
      <c r="A1923" s="113" t="s">
        <v>83</v>
      </c>
      <c r="B1923" s="113" t="s">
        <v>17</v>
      </c>
    </row>
    <row r="1924" spans="1:2" x14ac:dyDescent="0.3">
      <c r="A1924" s="113" t="s">
        <v>83</v>
      </c>
      <c r="B1924" s="113" t="s">
        <v>17</v>
      </c>
    </row>
    <row r="1925" spans="1:2" x14ac:dyDescent="0.3">
      <c r="A1925" s="113" t="s">
        <v>83</v>
      </c>
      <c r="B1925" s="113" t="s">
        <v>17</v>
      </c>
    </row>
    <row r="1926" spans="1:2" x14ac:dyDescent="0.3">
      <c r="A1926" s="113" t="s">
        <v>83</v>
      </c>
      <c r="B1926" s="113" t="s">
        <v>17</v>
      </c>
    </row>
    <row r="1927" spans="1:2" x14ac:dyDescent="0.3">
      <c r="A1927" s="113" t="s">
        <v>83</v>
      </c>
      <c r="B1927" s="113" t="s">
        <v>17</v>
      </c>
    </row>
    <row r="1928" spans="1:2" x14ac:dyDescent="0.3">
      <c r="A1928" s="113" t="s">
        <v>83</v>
      </c>
      <c r="B1928" s="113" t="s">
        <v>17</v>
      </c>
    </row>
    <row r="1929" spans="1:2" x14ac:dyDescent="0.3">
      <c r="A1929" s="113" t="s">
        <v>83</v>
      </c>
      <c r="B1929" s="113" t="s">
        <v>17</v>
      </c>
    </row>
    <row r="1930" spans="1:2" x14ac:dyDescent="0.3">
      <c r="A1930" s="113" t="s">
        <v>83</v>
      </c>
      <c r="B1930" s="113" t="s">
        <v>17</v>
      </c>
    </row>
    <row r="1931" spans="1:2" x14ac:dyDescent="0.3">
      <c r="A1931" s="113" t="s">
        <v>83</v>
      </c>
      <c r="B1931" s="113" t="s">
        <v>17</v>
      </c>
    </row>
    <row r="1932" spans="1:2" x14ac:dyDescent="0.3">
      <c r="A1932" s="113" t="s">
        <v>83</v>
      </c>
      <c r="B1932" s="113" t="s">
        <v>17</v>
      </c>
    </row>
    <row r="1933" spans="1:2" x14ac:dyDescent="0.3">
      <c r="A1933" s="113" t="s">
        <v>83</v>
      </c>
      <c r="B1933" s="113" t="s">
        <v>17</v>
      </c>
    </row>
    <row r="1934" spans="1:2" x14ac:dyDescent="0.3">
      <c r="A1934" s="113" t="s">
        <v>83</v>
      </c>
      <c r="B1934" s="113" t="s">
        <v>17</v>
      </c>
    </row>
    <row r="1935" spans="1:2" x14ac:dyDescent="0.3">
      <c r="A1935" s="113" t="s">
        <v>83</v>
      </c>
      <c r="B1935" s="113" t="s">
        <v>17</v>
      </c>
    </row>
    <row r="1936" spans="1:2" x14ac:dyDescent="0.3">
      <c r="A1936" s="113" t="s">
        <v>83</v>
      </c>
      <c r="B1936" s="113" t="s">
        <v>17</v>
      </c>
    </row>
    <row r="1937" spans="1:2" x14ac:dyDescent="0.3">
      <c r="A1937" s="113" t="s">
        <v>83</v>
      </c>
      <c r="B1937" s="113" t="s">
        <v>17</v>
      </c>
    </row>
    <row r="1938" spans="1:2" x14ac:dyDescent="0.3">
      <c r="A1938" s="113" t="s">
        <v>83</v>
      </c>
      <c r="B1938" s="113" t="s">
        <v>17</v>
      </c>
    </row>
    <row r="1939" spans="1:2" x14ac:dyDescent="0.3">
      <c r="A1939" s="113" t="s">
        <v>83</v>
      </c>
      <c r="B1939" s="113" t="s">
        <v>17</v>
      </c>
    </row>
    <row r="1940" spans="1:2" x14ac:dyDescent="0.3">
      <c r="A1940" s="113" t="s">
        <v>83</v>
      </c>
      <c r="B1940" s="113" t="s">
        <v>17</v>
      </c>
    </row>
    <row r="1941" spans="1:2" x14ac:dyDescent="0.3">
      <c r="A1941" s="113" t="s">
        <v>83</v>
      </c>
      <c r="B1941" s="113" t="s">
        <v>17</v>
      </c>
    </row>
    <row r="1942" spans="1:2" x14ac:dyDescent="0.3">
      <c r="A1942" s="113" t="s">
        <v>83</v>
      </c>
      <c r="B1942" s="113" t="s">
        <v>17</v>
      </c>
    </row>
    <row r="1943" spans="1:2" x14ac:dyDescent="0.3">
      <c r="A1943" s="113" t="s">
        <v>83</v>
      </c>
      <c r="B1943" s="113" t="s">
        <v>17</v>
      </c>
    </row>
    <row r="1944" spans="1:2" x14ac:dyDescent="0.3">
      <c r="A1944" s="113" t="s">
        <v>85</v>
      </c>
      <c r="B1944" s="113" t="s">
        <v>17</v>
      </c>
    </row>
    <row r="1945" spans="1:2" x14ac:dyDescent="0.3">
      <c r="A1945" s="113" t="s">
        <v>85</v>
      </c>
      <c r="B1945" s="113" t="s">
        <v>17</v>
      </c>
    </row>
    <row r="1946" spans="1:2" x14ac:dyDescent="0.3">
      <c r="A1946" s="113" t="s">
        <v>85</v>
      </c>
      <c r="B1946" s="113" t="s">
        <v>17</v>
      </c>
    </row>
    <row r="1947" spans="1:2" x14ac:dyDescent="0.3">
      <c r="A1947" s="113" t="s">
        <v>85</v>
      </c>
      <c r="B1947" s="113" t="s">
        <v>17</v>
      </c>
    </row>
    <row r="1948" spans="1:2" x14ac:dyDescent="0.3">
      <c r="A1948" s="113" t="s">
        <v>85</v>
      </c>
      <c r="B1948" s="113" t="s">
        <v>17</v>
      </c>
    </row>
    <row r="1949" spans="1:2" x14ac:dyDescent="0.3">
      <c r="A1949" s="113" t="s">
        <v>85</v>
      </c>
      <c r="B1949" s="113" t="s">
        <v>17</v>
      </c>
    </row>
    <row r="1950" spans="1:2" x14ac:dyDescent="0.3">
      <c r="A1950" s="113" t="s">
        <v>85</v>
      </c>
      <c r="B1950" s="113" t="s">
        <v>17</v>
      </c>
    </row>
    <row r="1951" spans="1:2" x14ac:dyDescent="0.3">
      <c r="A1951" s="113" t="s">
        <v>85</v>
      </c>
      <c r="B1951" s="113" t="s">
        <v>17</v>
      </c>
    </row>
    <row r="1952" spans="1:2" x14ac:dyDescent="0.3">
      <c r="A1952" s="113" t="s">
        <v>85</v>
      </c>
      <c r="B1952" s="113" t="s">
        <v>17</v>
      </c>
    </row>
    <row r="1953" spans="1:2" x14ac:dyDescent="0.3">
      <c r="A1953" s="113" t="s">
        <v>85</v>
      </c>
      <c r="B1953" s="113" t="s">
        <v>17</v>
      </c>
    </row>
    <row r="1954" spans="1:2" x14ac:dyDescent="0.3">
      <c r="A1954" s="113" t="s">
        <v>85</v>
      </c>
      <c r="B1954" s="113" t="s">
        <v>17</v>
      </c>
    </row>
    <row r="1955" spans="1:2" x14ac:dyDescent="0.3">
      <c r="A1955" s="113" t="s">
        <v>85</v>
      </c>
      <c r="B1955" s="113" t="s">
        <v>17</v>
      </c>
    </row>
    <row r="1956" spans="1:2" x14ac:dyDescent="0.3">
      <c r="A1956" s="113" t="s">
        <v>85</v>
      </c>
      <c r="B1956" s="113" t="s">
        <v>17</v>
      </c>
    </row>
    <row r="1957" spans="1:2" x14ac:dyDescent="0.3">
      <c r="A1957" s="113" t="s">
        <v>85</v>
      </c>
      <c r="B1957" s="113" t="s">
        <v>17</v>
      </c>
    </row>
    <row r="1958" spans="1:2" x14ac:dyDescent="0.3">
      <c r="A1958" s="113" t="s">
        <v>85</v>
      </c>
      <c r="B1958" s="113" t="s">
        <v>17</v>
      </c>
    </row>
    <row r="1959" spans="1:2" x14ac:dyDescent="0.3">
      <c r="A1959" s="113" t="s">
        <v>85</v>
      </c>
      <c r="B1959" s="113" t="s">
        <v>17</v>
      </c>
    </row>
    <row r="1960" spans="1:2" x14ac:dyDescent="0.3">
      <c r="A1960" s="113" t="s">
        <v>85</v>
      </c>
      <c r="B1960" s="113" t="s">
        <v>17</v>
      </c>
    </row>
    <row r="1961" spans="1:2" x14ac:dyDescent="0.3">
      <c r="A1961" s="113" t="s">
        <v>88</v>
      </c>
      <c r="B1961" s="113" t="s">
        <v>17</v>
      </c>
    </row>
    <row r="1962" spans="1:2" x14ac:dyDescent="0.3">
      <c r="A1962" s="113" t="s">
        <v>88</v>
      </c>
      <c r="B1962" s="113" t="s">
        <v>17</v>
      </c>
    </row>
    <row r="1963" spans="1:2" x14ac:dyDescent="0.3">
      <c r="A1963" s="113" t="s">
        <v>87</v>
      </c>
      <c r="B1963" s="113" t="s">
        <v>17</v>
      </c>
    </row>
    <row r="1964" spans="1:2" x14ac:dyDescent="0.3">
      <c r="A1964" s="113" t="s">
        <v>87</v>
      </c>
      <c r="B1964" s="113" t="s">
        <v>17</v>
      </c>
    </row>
    <row r="1965" spans="1:2" x14ac:dyDescent="0.3">
      <c r="A1965" s="113" t="s">
        <v>87</v>
      </c>
      <c r="B1965" s="113" t="s">
        <v>17</v>
      </c>
    </row>
    <row r="1966" spans="1:2" x14ac:dyDescent="0.3">
      <c r="A1966" s="113" t="s">
        <v>87</v>
      </c>
      <c r="B1966" s="113" t="s">
        <v>17</v>
      </c>
    </row>
    <row r="1967" spans="1:2" x14ac:dyDescent="0.3">
      <c r="A1967" s="113" t="s">
        <v>87</v>
      </c>
      <c r="B1967" s="113" t="s">
        <v>17</v>
      </c>
    </row>
    <row r="1968" spans="1:2" x14ac:dyDescent="0.3">
      <c r="A1968" s="113" t="s">
        <v>87</v>
      </c>
      <c r="B1968" s="113" t="s">
        <v>17</v>
      </c>
    </row>
    <row r="1969" spans="1:2" x14ac:dyDescent="0.3">
      <c r="A1969" s="113" t="s">
        <v>87</v>
      </c>
      <c r="B1969" s="113" t="s">
        <v>17</v>
      </c>
    </row>
    <row r="1970" spans="1:2" x14ac:dyDescent="0.3">
      <c r="A1970" s="113" t="s">
        <v>87</v>
      </c>
      <c r="B1970" s="113" t="s">
        <v>17</v>
      </c>
    </row>
    <row r="1971" spans="1:2" x14ac:dyDescent="0.3">
      <c r="A1971" s="113" t="s">
        <v>87</v>
      </c>
      <c r="B1971" s="113" t="s">
        <v>17</v>
      </c>
    </row>
    <row r="1972" spans="1:2" x14ac:dyDescent="0.3">
      <c r="A1972" s="113" t="s">
        <v>87</v>
      </c>
      <c r="B1972" s="113" t="s">
        <v>17</v>
      </c>
    </row>
    <row r="1973" spans="1:2" x14ac:dyDescent="0.3">
      <c r="A1973" s="113" t="s">
        <v>87</v>
      </c>
      <c r="B1973" s="113" t="s">
        <v>17</v>
      </c>
    </row>
    <row r="1974" spans="1:2" x14ac:dyDescent="0.3">
      <c r="A1974" s="113" t="s">
        <v>87</v>
      </c>
      <c r="B1974" s="113" t="s">
        <v>17</v>
      </c>
    </row>
    <row r="1975" spans="1:2" x14ac:dyDescent="0.3">
      <c r="A1975" s="113" t="s">
        <v>87</v>
      </c>
      <c r="B1975" s="113" t="s">
        <v>17</v>
      </c>
    </row>
    <row r="1976" spans="1:2" x14ac:dyDescent="0.3">
      <c r="A1976" s="113" t="s">
        <v>87</v>
      </c>
      <c r="B1976" s="113" t="s">
        <v>17</v>
      </c>
    </row>
    <row r="1977" spans="1:2" x14ac:dyDescent="0.3">
      <c r="A1977" s="113" t="s">
        <v>87</v>
      </c>
      <c r="B1977" s="113" t="s">
        <v>17</v>
      </c>
    </row>
    <row r="1978" spans="1:2" x14ac:dyDescent="0.3">
      <c r="A1978" s="113" t="s">
        <v>87</v>
      </c>
      <c r="B1978" s="113" t="s">
        <v>17</v>
      </c>
    </row>
    <row r="1979" spans="1:2" x14ac:dyDescent="0.3">
      <c r="A1979" s="113" t="s">
        <v>87</v>
      </c>
      <c r="B1979" s="113" t="s">
        <v>17</v>
      </c>
    </row>
    <row r="1980" spans="1:2" x14ac:dyDescent="0.3">
      <c r="A1980" s="113" t="s">
        <v>87</v>
      </c>
      <c r="B1980" s="113" t="s">
        <v>17</v>
      </c>
    </row>
    <row r="1981" spans="1:2" x14ac:dyDescent="0.3">
      <c r="A1981" s="113" t="s">
        <v>87</v>
      </c>
      <c r="B1981" s="113" t="s">
        <v>17</v>
      </c>
    </row>
    <row r="1982" spans="1:2" x14ac:dyDescent="0.3">
      <c r="A1982" s="113" t="s">
        <v>87</v>
      </c>
      <c r="B1982" s="113" t="s">
        <v>17</v>
      </c>
    </row>
    <row r="1983" spans="1:2" x14ac:dyDescent="0.3">
      <c r="A1983" s="113" t="s">
        <v>87</v>
      </c>
      <c r="B1983" s="113" t="s">
        <v>17</v>
      </c>
    </row>
    <row r="1984" spans="1:2" x14ac:dyDescent="0.3">
      <c r="A1984" s="113" t="s">
        <v>87</v>
      </c>
      <c r="B1984" s="113" t="s">
        <v>17</v>
      </c>
    </row>
    <row r="1985" spans="1:2" x14ac:dyDescent="0.3">
      <c r="A1985" s="113" t="s">
        <v>87</v>
      </c>
      <c r="B1985" s="113" t="s">
        <v>17</v>
      </c>
    </row>
    <row r="1986" spans="1:2" x14ac:dyDescent="0.3">
      <c r="A1986" s="113" t="s">
        <v>87</v>
      </c>
      <c r="B1986" s="113" t="s">
        <v>17</v>
      </c>
    </row>
    <row r="1987" spans="1:2" x14ac:dyDescent="0.3">
      <c r="A1987" s="113" t="s">
        <v>87</v>
      </c>
      <c r="B1987" s="113" t="s">
        <v>17</v>
      </c>
    </row>
    <row r="1988" spans="1:2" x14ac:dyDescent="0.3">
      <c r="A1988" s="113" t="s">
        <v>87</v>
      </c>
      <c r="B1988" s="113" t="s">
        <v>17</v>
      </c>
    </row>
    <row r="1989" spans="1:2" x14ac:dyDescent="0.3">
      <c r="A1989" s="113" t="s">
        <v>87</v>
      </c>
      <c r="B1989" s="113" t="s">
        <v>17</v>
      </c>
    </row>
    <row r="1990" spans="1:2" x14ac:dyDescent="0.3">
      <c r="A1990" s="113" t="s">
        <v>87</v>
      </c>
      <c r="B1990" s="113" t="s">
        <v>17</v>
      </c>
    </row>
    <row r="1991" spans="1:2" x14ac:dyDescent="0.3">
      <c r="A1991" s="113" t="s">
        <v>87</v>
      </c>
      <c r="B1991" s="113" t="s">
        <v>17</v>
      </c>
    </row>
    <row r="1992" spans="1:2" x14ac:dyDescent="0.3">
      <c r="A1992" s="113" t="s">
        <v>87</v>
      </c>
      <c r="B1992" s="113" t="s">
        <v>17</v>
      </c>
    </row>
    <row r="1993" spans="1:2" x14ac:dyDescent="0.3">
      <c r="A1993" s="113" t="s">
        <v>87</v>
      </c>
      <c r="B1993" s="113" t="s">
        <v>17</v>
      </c>
    </row>
    <row r="1994" spans="1:2" x14ac:dyDescent="0.3">
      <c r="A1994" s="113" t="s">
        <v>87</v>
      </c>
      <c r="B1994" s="113" t="s">
        <v>17</v>
      </c>
    </row>
    <row r="1995" spans="1:2" x14ac:dyDescent="0.3">
      <c r="A1995" s="113" t="s">
        <v>87</v>
      </c>
      <c r="B1995" s="113" t="s">
        <v>17</v>
      </c>
    </row>
    <row r="1996" spans="1:2" x14ac:dyDescent="0.3">
      <c r="A1996" s="113" t="s">
        <v>87</v>
      </c>
      <c r="B1996" s="113" t="s">
        <v>17</v>
      </c>
    </row>
    <row r="1997" spans="1:2" x14ac:dyDescent="0.3">
      <c r="A1997" s="113" t="s">
        <v>87</v>
      </c>
      <c r="B1997" s="113" t="s">
        <v>17</v>
      </c>
    </row>
    <row r="1998" spans="1:2" x14ac:dyDescent="0.3">
      <c r="A1998" s="113" t="s">
        <v>87</v>
      </c>
      <c r="B1998" s="113" t="s">
        <v>17</v>
      </c>
    </row>
    <row r="1999" spans="1:2" x14ac:dyDescent="0.3">
      <c r="A1999" s="113" t="s">
        <v>87</v>
      </c>
      <c r="B1999" s="113" t="s">
        <v>17</v>
      </c>
    </row>
    <row r="2000" spans="1:2" x14ac:dyDescent="0.3">
      <c r="A2000" s="113" t="s">
        <v>87</v>
      </c>
      <c r="B2000" s="113" t="s">
        <v>17</v>
      </c>
    </row>
    <row r="2001" spans="1:2" x14ac:dyDescent="0.3">
      <c r="A2001" s="113" t="s">
        <v>87</v>
      </c>
      <c r="B2001" s="113" t="s">
        <v>17</v>
      </c>
    </row>
    <row r="2002" spans="1:2" x14ac:dyDescent="0.3">
      <c r="A2002" s="113" t="s">
        <v>87</v>
      </c>
      <c r="B2002" s="113" t="s">
        <v>17</v>
      </c>
    </row>
    <row r="2003" spans="1:2" x14ac:dyDescent="0.3">
      <c r="A2003" s="113" t="s">
        <v>87</v>
      </c>
      <c r="B2003" s="113" t="s">
        <v>17</v>
      </c>
    </row>
    <row r="2004" spans="1:2" x14ac:dyDescent="0.3">
      <c r="A2004" s="113" t="s">
        <v>87</v>
      </c>
      <c r="B2004" s="113" t="s">
        <v>17</v>
      </c>
    </row>
    <row r="2005" spans="1:2" x14ac:dyDescent="0.3">
      <c r="A2005" s="113" t="s">
        <v>87</v>
      </c>
      <c r="B2005" s="113" t="s">
        <v>17</v>
      </c>
    </row>
    <row r="2006" spans="1:2" x14ac:dyDescent="0.3">
      <c r="A2006" s="113" t="s">
        <v>87</v>
      </c>
      <c r="B2006" s="113" t="s">
        <v>17</v>
      </c>
    </row>
    <row r="2007" spans="1:2" x14ac:dyDescent="0.3">
      <c r="A2007" s="113" t="s">
        <v>87</v>
      </c>
      <c r="B2007" s="113" t="s">
        <v>17</v>
      </c>
    </row>
    <row r="2008" spans="1:2" x14ac:dyDescent="0.3">
      <c r="A2008" s="113" t="s">
        <v>87</v>
      </c>
      <c r="B2008" s="113" t="s">
        <v>17</v>
      </c>
    </row>
    <row r="2009" spans="1:2" x14ac:dyDescent="0.3">
      <c r="A2009" s="113" t="s">
        <v>87</v>
      </c>
      <c r="B2009" s="113" t="s">
        <v>17</v>
      </c>
    </row>
    <row r="2010" spans="1:2" x14ac:dyDescent="0.3">
      <c r="A2010" s="113" t="s">
        <v>87</v>
      </c>
      <c r="B2010" s="113" t="s">
        <v>17</v>
      </c>
    </row>
    <row r="2011" spans="1:2" x14ac:dyDescent="0.3">
      <c r="A2011" s="113" t="s">
        <v>87</v>
      </c>
      <c r="B2011" s="113" t="s">
        <v>17</v>
      </c>
    </row>
    <row r="2012" spans="1:2" x14ac:dyDescent="0.3">
      <c r="A2012" s="113" t="s">
        <v>87</v>
      </c>
      <c r="B2012" s="113" t="s">
        <v>17</v>
      </c>
    </row>
    <row r="2013" spans="1:2" x14ac:dyDescent="0.3">
      <c r="A2013" s="113" t="s">
        <v>87</v>
      </c>
      <c r="B2013" s="113" t="s">
        <v>17</v>
      </c>
    </row>
    <row r="2014" spans="1:2" x14ac:dyDescent="0.3">
      <c r="A2014" s="113" t="s">
        <v>87</v>
      </c>
      <c r="B2014" s="113" t="s">
        <v>17</v>
      </c>
    </row>
    <row r="2015" spans="1:2" x14ac:dyDescent="0.3">
      <c r="A2015" s="113" t="s">
        <v>87</v>
      </c>
      <c r="B2015" s="113" t="s">
        <v>17</v>
      </c>
    </row>
    <row r="2016" spans="1:2" x14ac:dyDescent="0.3">
      <c r="A2016" s="113" t="s">
        <v>87</v>
      </c>
      <c r="B2016" s="113" t="s">
        <v>17</v>
      </c>
    </row>
    <row r="2017" spans="1:2" x14ac:dyDescent="0.3">
      <c r="A2017" s="113" t="s">
        <v>87</v>
      </c>
      <c r="B2017" s="113" t="s">
        <v>17</v>
      </c>
    </row>
    <row r="2018" spans="1:2" x14ac:dyDescent="0.3">
      <c r="A2018" s="113" t="s">
        <v>87</v>
      </c>
      <c r="B2018" s="113" t="s">
        <v>17</v>
      </c>
    </row>
    <row r="2019" spans="1:2" x14ac:dyDescent="0.3">
      <c r="A2019" s="113" t="s">
        <v>87</v>
      </c>
      <c r="B2019" s="113" t="s">
        <v>17</v>
      </c>
    </row>
    <row r="2020" spans="1:2" x14ac:dyDescent="0.3">
      <c r="A2020" s="113" t="s">
        <v>87</v>
      </c>
      <c r="B2020" s="113" t="s">
        <v>17</v>
      </c>
    </row>
    <row r="2021" spans="1:2" x14ac:dyDescent="0.3">
      <c r="A2021" s="113" t="s">
        <v>87</v>
      </c>
      <c r="B2021" s="113" t="s">
        <v>17</v>
      </c>
    </row>
    <row r="2022" spans="1:2" x14ac:dyDescent="0.3">
      <c r="A2022" s="113" t="s">
        <v>87</v>
      </c>
      <c r="B2022" s="113" t="s">
        <v>17</v>
      </c>
    </row>
    <row r="2023" spans="1:2" x14ac:dyDescent="0.3">
      <c r="A2023" s="113" t="s">
        <v>87</v>
      </c>
      <c r="B2023" s="113" t="s">
        <v>17</v>
      </c>
    </row>
    <row r="2024" spans="1:2" x14ac:dyDescent="0.3">
      <c r="A2024" s="113" t="s">
        <v>87</v>
      </c>
      <c r="B2024" s="113" t="s">
        <v>17</v>
      </c>
    </row>
    <row r="2025" spans="1:2" x14ac:dyDescent="0.3">
      <c r="A2025" s="113" t="s">
        <v>87</v>
      </c>
      <c r="B2025" s="113" t="s">
        <v>17</v>
      </c>
    </row>
    <row r="2026" spans="1:2" x14ac:dyDescent="0.3">
      <c r="A2026" s="113" t="s">
        <v>87</v>
      </c>
      <c r="B2026" s="113" t="s">
        <v>17</v>
      </c>
    </row>
    <row r="2027" spans="1:2" x14ac:dyDescent="0.3">
      <c r="A2027" s="113" t="s">
        <v>87</v>
      </c>
      <c r="B2027" s="113" t="s">
        <v>17</v>
      </c>
    </row>
    <row r="2028" spans="1:2" x14ac:dyDescent="0.3">
      <c r="A2028" s="113" t="s">
        <v>87</v>
      </c>
      <c r="B2028" s="113" t="s">
        <v>17</v>
      </c>
    </row>
    <row r="2029" spans="1:2" x14ac:dyDescent="0.3">
      <c r="A2029" s="113" t="s">
        <v>87</v>
      </c>
      <c r="B2029" s="113" t="s">
        <v>17</v>
      </c>
    </row>
    <row r="2030" spans="1:2" x14ac:dyDescent="0.3">
      <c r="A2030" s="113" t="s">
        <v>87</v>
      </c>
      <c r="B2030" s="113" t="s">
        <v>17</v>
      </c>
    </row>
    <row r="2031" spans="1:2" x14ac:dyDescent="0.3">
      <c r="A2031" s="113" t="s">
        <v>87</v>
      </c>
      <c r="B2031" s="113" t="s">
        <v>17</v>
      </c>
    </row>
    <row r="2032" spans="1:2" x14ac:dyDescent="0.3">
      <c r="A2032" s="113" t="s">
        <v>87</v>
      </c>
      <c r="B2032" s="113" t="s">
        <v>17</v>
      </c>
    </row>
    <row r="2033" spans="1:2" x14ac:dyDescent="0.3">
      <c r="A2033" s="113" t="s">
        <v>87</v>
      </c>
      <c r="B2033" s="113" t="s">
        <v>17</v>
      </c>
    </row>
    <row r="2034" spans="1:2" x14ac:dyDescent="0.3">
      <c r="A2034" s="113" t="s">
        <v>87</v>
      </c>
      <c r="B2034" s="113" t="s">
        <v>17</v>
      </c>
    </row>
    <row r="2035" spans="1:2" x14ac:dyDescent="0.3">
      <c r="A2035" s="113" t="s">
        <v>87</v>
      </c>
      <c r="B2035" s="113" t="s">
        <v>17</v>
      </c>
    </row>
    <row r="2036" spans="1:2" x14ac:dyDescent="0.3">
      <c r="A2036" s="113" t="s">
        <v>87</v>
      </c>
      <c r="B2036" s="113" t="s">
        <v>17</v>
      </c>
    </row>
    <row r="2037" spans="1:2" x14ac:dyDescent="0.3">
      <c r="A2037" s="113" t="s">
        <v>87</v>
      </c>
      <c r="B2037" s="113" t="s">
        <v>17</v>
      </c>
    </row>
    <row r="2038" spans="1:2" x14ac:dyDescent="0.3">
      <c r="A2038" s="113" t="s">
        <v>87</v>
      </c>
      <c r="B2038" s="113" t="s">
        <v>17</v>
      </c>
    </row>
    <row r="2039" spans="1:2" x14ac:dyDescent="0.3">
      <c r="A2039" s="113" t="s">
        <v>87</v>
      </c>
      <c r="B2039" s="113" t="s">
        <v>17</v>
      </c>
    </row>
    <row r="2040" spans="1:2" x14ac:dyDescent="0.3">
      <c r="A2040" s="113" t="s">
        <v>87</v>
      </c>
      <c r="B2040" s="113" t="s">
        <v>17</v>
      </c>
    </row>
    <row r="2041" spans="1:2" x14ac:dyDescent="0.3">
      <c r="A2041" s="113" t="s">
        <v>87</v>
      </c>
      <c r="B2041" s="113" t="s">
        <v>17</v>
      </c>
    </row>
    <row r="2042" spans="1:2" x14ac:dyDescent="0.3">
      <c r="A2042" s="113" t="s">
        <v>87</v>
      </c>
      <c r="B2042" s="113" t="s">
        <v>17</v>
      </c>
    </row>
    <row r="2043" spans="1:2" x14ac:dyDescent="0.3">
      <c r="A2043" s="113" t="s">
        <v>87</v>
      </c>
      <c r="B2043" s="113" t="s">
        <v>17</v>
      </c>
    </row>
    <row r="2044" spans="1:2" x14ac:dyDescent="0.3">
      <c r="A2044" s="113" t="s">
        <v>87</v>
      </c>
      <c r="B2044" s="113" t="s">
        <v>17</v>
      </c>
    </row>
    <row r="2045" spans="1:2" x14ac:dyDescent="0.3">
      <c r="A2045" s="113" t="s">
        <v>87</v>
      </c>
      <c r="B2045" s="113" t="s">
        <v>17</v>
      </c>
    </row>
    <row r="2046" spans="1:2" x14ac:dyDescent="0.3">
      <c r="A2046" s="113" t="s">
        <v>87</v>
      </c>
      <c r="B2046" s="113" t="s">
        <v>17</v>
      </c>
    </row>
    <row r="2047" spans="1:2" x14ac:dyDescent="0.3">
      <c r="A2047" s="113" t="s">
        <v>87</v>
      </c>
      <c r="B2047" s="113" t="s">
        <v>17</v>
      </c>
    </row>
    <row r="2048" spans="1:2" x14ac:dyDescent="0.3">
      <c r="A2048" s="113" t="s">
        <v>87</v>
      </c>
      <c r="B2048" s="113" t="s">
        <v>17</v>
      </c>
    </row>
    <row r="2049" spans="1:2" x14ac:dyDescent="0.3">
      <c r="A2049" s="113" t="s">
        <v>87</v>
      </c>
      <c r="B2049" s="113" t="s">
        <v>17</v>
      </c>
    </row>
    <row r="2050" spans="1:2" x14ac:dyDescent="0.3">
      <c r="A2050" s="113" t="s">
        <v>87</v>
      </c>
      <c r="B2050" s="113" t="s">
        <v>17</v>
      </c>
    </row>
    <row r="2051" spans="1:2" x14ac:dyDescent="0.3">
      <c r="A2051" s="113" t="s">
        <v>87</v>
      </c>
      <c r="B2051" s="113" t="s">
        <v>17</v>
      </c>
    </row>
    <row r="2052" spans="1:2" x14ac:dyDescent="0.3">
      <c r="A2052" s="113" t="s">
        <v>87</v>
      </c>
      <c r="B2052" s="113" t="s">
        <v>17</v>
      </c>
    </row>
    <row r="2053" spans="1:2" x14ac:dyDescent="0.3">
      <c r="A2053" s="113" t="s">
        <v>87</v>
      </c>
      <c r="B2053" s="113" t="s">
        <v>17</v>
      </c>
    </row>
    <row r="2054" spans="1:2" x14ac:dyDescent="0.3">
      <c r="A2054" s="113" t="s">
        <v>87</v>
      </c>
      <c r="B2054" s="113" t="s">
        <v>17</v>
      </c>
    </row>
    <row r="2055" spans="1:2" x14ac:dyDescent="0.3">
      <c r="A2055" s="113" t="s">
        <v>87</v>
      </c>
      <c r="B2055" s="113" t="s">
        <v>17</v>
      </c>
    </row>
    <row r="2056" spans="1:2" x14ac:dyDescent="0.3">
      <c r="A2056" s="113" t="s">
        <v>87</v>
      </c>
      <c r="B2056" s="113" t="s">
        <v>17</v>
      </c>
    </row>
    <row r="2057" spans="1:2" x14ac:dyDescent="0.3">
      <c r="A2057" s="113" t="s">
        <v>87</v>
      </c>
      <c r="B2057" s="113" t="s">
        <v>17</v>
      </c>
    </row>
    <row r="2058" spans="1:2" x14ac:dyDescent="0.3">
      <c r="A2058" s="113" t="s">
        <v>87</v>
      </c>
      <c r="B2058" s="113" t="s">
        <v>17</v>
      </c>
    </row>
    <row r="2059" spans="1:2" x14ac:dyDescent="0.3">
      <c r="A2059" s="113" t="s">
        <v>87</v>
      </c>
      <c r="B2059" s="113" t="s">
        <v>17</v>
      </c>
    </row>
    <row r="2060" spans="1:2" x14ac:dyDescent="0.3">
      <c r="A2060" s="113" t="s">
        <v>87</v>
      </c>
      <c r="B2060" s="113" t="s">
        <v>17</v>
      </c>
    </row>
    <row r="2061" spans="1:2" x14ac:dyDescent="0.3">
      <c r="A2061" s="113" t="s">
        <v>87</v>
      </c>
      <c r="B2061" s="113" t="s">
        <v>17</v>
      </c>
    </row>
    <row r="2062" spans="1:2" x14ac:dyDescent="0.3">
      <c r="A2062" s="113" t="s">
        <v>87</v>
      </c>
      <c r="B2062" s="113" t="s">
        <v>17</v>
      </c>
    </row>
    <row r="2063" spans="1:2" x14ac:dyDescent="0.3">
      <c r="A2063" s="113" t="s">
        <v>87</v>
      </c>
      <c r="B2063" s="113" t="s">
        <v>17</v>
      </c>
    </row>
    <row r="2064" spans="1:2" x14ac:dyDescent="0.3">
      <c r="A2064" s="113" t="s">
        <v>87</v>
      </c>
      <c r="B2064" s="113" t="s">
        <v>17</v>
      </c>
    </row>
    <row r="2065" spans="1:2" x14ac:dyDescent="0.3">
      <c r="A2065" s="113" t="s">
        <v>87</v>
      </c>
      <c r="B2065" s="113" t="s">
        <v>17</v>
      </c>
    </row>
    <row r="2066" spans="1:2" x14ac:dyDescent="0.3">
      <c r="A2066" s="113" t="s">
        <v>87</v>
      </c>
      <c r="B2066" s="113" t="s">
        <v>17</v>
      </c>
    </row>
    <row r="2067" spans="1:2" x14ac:dyDescent="0.3">
      <c r="A2067" s="113" t="s">
        <v>87</v>
      </c>
      <c r="B2067" s="113" t="s">
        <v>17</v>
      </c>
    </row>
    <row r="2068" spans="1:2" x14ac:dyDescent="0.3">
      <c r="A2068" s="113" t="s">
        <v>87</v>
      </c>
      <c r="B2068" s="113" t="s">
        <v>17</v>
      </c>
    </row>
    <row r="2069" spans="1:2" x14ac:dyDescent="0.3">
      <c r="A2069" s="113" t="s">
        <v>87</v>
      </c>
      <c r="B2069" s="113" t="s">
        <v>17</v>
      </c>
    </row>
    <row r="2070" spans="1:2" x14ac:dyDescent="0.3">
      <c r="A2070" s="113" t="s">
        <v>87</v>
      </c>
      <c r="B2070" s="113" t="s">
        <v>17</v>
      </c>
    </row>
    <row r="2071" spans="1:2" x14ac:dyDescent="0.3">
      <c r="A2071" s="113" t="s">
        <v>87</v>
      </c>
      <c r="B2071" s="113" t="s">
        <v>17</v>
      </c>
    </row>
    <row r="2072" spans="1:2" x14ac:dyDescent="0.3">
      <c r="A2072" s="113" t="s">
        <v>87</v>
      </c>
      <c r="B2072" s="113" t="s">
        <v>17</v>
      </c>
    </row>
    <row r="2073" spans="1:2" x14ac:dyDescent="0.3">
      <c r="A2073" s="113" t="s">
        <v>87</v>
      </c>
      <c r="B2073" s="113" t="s">
        <v>17</v>
      </c>
    </row>
    <row r="2074" spans="1:2" x14ac:dyDescent="0.3">
      <c r="A2074" s="113" t="s">
        <v>87</v>
      </c>
      <c r="B2074" s="113" t="s">
        <v>17</v>
      </c>
    </row>
    <row r="2075" spans="1:2" x14ac:dyDescent="0.3">
      <c r="A2075" s="113" t="s">
        <v>87</v>
      </c>
      <c r="B2075" s="113" t="s">
        <v>17</v>
      </c>
    </row>
    <row r="2076" spans="1:2" x14ac:dyDescent="0.3">
      <c r="A2076" s="113" t="s">
        <v>87</v>
      </c>
      <c r="B2076" s="113" t="s">
        <v>17</v>
      </c>
    </row>
    <row r="2077" spans="1:2" x14ac:dyDescent="0.3">
      <c r="A2077" s="113" t="s">
        <v>87</v>
      </c>
      <c r="B2077" s="113" t="s">
        <v>17</v>
      </c>
    </row>
    <row r="2078" spans="1:2" x14ac:dyDescent="0.3">
      <c r="A2078" s="113" t="s">
        <v>87</v>
      </c>
      <c r="B2078" s="113" t="s">
        <v>17</v>
      </c>
    </row>
    <row r="2079" spans="1:2" x14ac:dyDescent="0.3">
      <c r="A2079" s="113" t="s">
        <v>87</v>
      </c>
      <c r="B2079" s="113" t="s">
        <v>17</v>
      </c>
    </row>
    <row r="2080" spans="1:2" x14ac:dyDescent="0.3">
      <c r="A2080" s="113" t="s">
        <v>87</v>
      </c>
      <c r="B2080" s="113" t="s">
        <v>17</v>
      </c>
    </row>
    <row r="2081" spans="1:2" x14ac:dyDescent="0.3">
      <c r="A2081" s="113" t="s">
        <v>87</v>
      </c>
      <c r="B2081" s="113" t="s">
        <v>17</v>
      </c>
    </row>
    <row r="2082" spans="1:2" x14ac:dyDescent="0.3">
      <c r="A2082" s="113" t="s">
        <v>87</v>
      </c>
      <c r="B2082" s="113" t="s">
        <v>17</v>
      </c>
    </row>
    <row r="2083" spans="1:2" x14ac:dyDescent="0.3">
      <c r="A2083" s="113" t="s">
        <v>87</v>
      </c>
      <c r="B2083" s="113" t="s">
        <v>17</v>
      </c>
    </row>
    <row r="2084" spans="1:2" x14ac:dyDescent="0.3">
      <c r="A2084" s="113" t="s">
        <v>87</v>
      </c>
      <c r="B2084" s="113" t="s">
        <v>17</v>
      </c>
    </row>
    <row r="2085" spans="1:2" x14ac:dyDescent="0.3">
      <c r="A2085" s="113" t="s">
        <v>87</v>
      </c>
      <c r="B2085" s="113" t="s">
        <v>17</v>
      </c>
    </row>
    <row r="2086" spans="1:2" x14ac:dyDescent="0.3">
      <c r="A2086" s="113" t="s">
        <v>87</v>
      </c>
      <c r="B2086" s="113" t="s">
        <v>17</v>
      </c>
    </row>
    <row r="2087" spans="1:2" x14ac:dyDescent="0.3">
      <c r="A2087" s="113" t="s">
        <v>87</v>
      </c>
      <c r="B2087" s="113" t="s">
        <v>17</v>
      </c>
    </row>
    <row r="2088" spans="1:2" x14ac:dyDescent="0.3">
      <c r="A2088" s="113" t="s">
        <v>87</v>
      </c>
      <c r="B2088" s="113" t="s">
        <v>17</v>
      </c>
    </row>
    <row r="2089" spans="1:2" x14ac:dyDescent="0.3">
      <c r="A2089" s="113" t="s">
        <v>87</v>
      </c>
      <c r="B2089" s="113" t="s">
        <v>17</v>
      </c>
    </row>
    <row r="2090" spans="1:2" x14ac:dyDescent="0.3">
      <c r="A2090" s="113" t="s">
        <v>87</v>
      </c>
      <c r="B2090" s="113" t="s">
        <v>17</v>
      </c>
    </row>
    <row r="2091" spans="1:2" x14ac:dyDescent="0.3">
      <c r="A2091" s="113" t="s">
        <v>87</v>
      </c>
      <c r="B2091" s="113" t="s">
        <v>17</v>
      </c>
    </row>
    <row r="2092" spans="1:2" x14ac:dyDescent="0.3">
      <c r="A2092" s="113" t="s">
        <v>87</v>
      </c>
      <c r="B2092" s="113" t="s">
        <v>17</v>
      </c>
    </row>
    <row r="2093" spans="1:2" x14ac:dyDescent="0.3">
      <c r="A2093" s="113" t="s">
        <v>87</v>
      </c>
      <c r="B2093" s="113" t="s">
        <v>17</v>
      </c>
    </row>
    <row r="2094" spans="1:2" x14ac:dyDescent="0.3">
      <c r="A2094" s="113" t="s">
        <v>87</v>
      </c>
      <c r="B2094" s="113" t="s">
        <v>17</v>
      </c>
    </row>
    <row r="2095" spans="1:2" x14ac:dyDescent="0.3">
      <c r="A2095" s="113" t="s">
        <v>87</v>
      </c>
      <c r="B2095" s="113" t="s">
        <v>17</v>
      </c>
    </row>
    <row r="2096" spans="1:2" x14ac:dyDescent="0.3">
      <c r="A2096" s="113" t="s">
        <v>87</v>
      </c>
      <c r="B2096" s="113" t="s">
        <v>17</v>
      </c>
    </row>
    <row r="2097" spans="1:2" x14ac:dyDescent="0.3">
      <c r="A2097" s="113" t="s">
        <v>87</v>
      </c>
      <c r="B2097" s="113" t="s">
        <v>17</v>
      </c>
    </row>
    <row r="2098" spans="1:2" x14ac:dyDescent="0.3">
      <c r="A2098" s="113" t="s">
        <v>87</v>
      </c>
      <c r="B2098" s="113" t="s">
        <v>17</v>
      </c>
    </row>
    <row r="2099" spans="1:2" x14ac:dyDescent="0.3">
      <c r="A2099" s="113" t="s">
        <v>87</v>
      </c>
      <c r="B2099" s="113" t="s">
        <v>17</v>
      </c>
    </row>
    <row r="2100" spans="1:2" x14ac:dyDescent="0.3">
      <c r="A2100" s="113" t="s">
        <v>87</v>
      </c>
      <c r="B2100" s="113" t="s">
        <v>17</v>
      </c>
    </row>
    <row r="2101" spans="1:2" x14ac:dyDescent="0.3">
      <c r="A2101" s="113" t="s">
        <v>87</v>
      </c>
      <c r="B2101" s="113" t="s">
        <v>17</v>
      </c>
    </row>
    <row r="2102" spans="1:2" x14ac:dyDescent="0.3">
      <c r="A2102" s="113" t="s">
        <v>87</v>
      </c>
      <c r="B2102" s="113" t="s">
        <v>17</v>
      </c>
    </row>
    <row r="2103" spans="1:2" x14ac:dyDescent="0.3">
      <c r="A2103" s="113" t="s">
        <v>87</v>
      </c>
      <c r="B2103" s="113" t="s">
        <v>17</v>
      </c>
    </row>
    <row r="2104" spans="1:2" x14ac:dyDescent="0.3">
      <c r="A2104" s="113" t="s">
        <v>87</v>
      </c>
      <c r="B2104" s="113" t="s">
        <v>17</v>
      </c>
    </row>
    <row r="2105" spans="1:2" x14ac:dyDescent="0.3">
      <c r="A2105" s="113" t="s">
        <v>87</v>
      </c>
      <c r="B2105" s="113" t="s">
        <v>17</v>
      </c>
    </row>
    <row r="2106" spans="1:2" x14ac:dyDescent="0.3">
      <c r="A2106" s="113" t="s">
        <v>87</v>
      </c>
      <c r="B2106" s="113" t="s">
        <v>17</v>
      </c>
    </row>
    <row r="2107" spans="1:2" x14ac:dyDescent="0.3">
      <c r="A2107" s="113" t="s">
        <v>87</v>
      </c>
      <c r="B2107" s="113" t="s">
        <v>17</v>
      </c>
    </row>
    <row r="2108" spans="1:2" x14ac:dyDescent="0.3">
      <c r="A2108" s="113" t="s">
        <v>87</v>
      </c>
      <c r="B2108" s="113" t="s">
        <v>17</v>
      </c>
    </row>
    <row r="2109" spans="1:2" x14ac:dyDescent="0.3">
      <c r="A2109" s="113" t="s">
        <v>87</v>
      </c>
      <c r="B2109" s="113" t="s">
        <v>17</v>
      </c>
    </row>
    <row r="2110" spans="1:2" x14ac:dyDescent="0.3">
      <c r="A2110" s="113" t="s">
        <v>87</v>
      </c>
      <c r="B2110" s="113" t="s">
        <v>17</v>
      </c>
    </row>
    <row r="2111" spans="1:2" x14ac:dyDescent="0.3">
      <c r="A2111" s="113" t="s">
        <v>87</v>
      </c>
      <c r="B2111" s="113" t="s">
        <v>17</v>
      </c>
    </row>
    <row r="2112" spans="1:2" x14ac:dyDescent="0.3">
      <c r="A2112" s="113" t="s">
        <v>87</v>
      </c>
      <c r="B2112" s="113" t="s">
        <v>17</v>
      </c>
    </row>
    <row r="2113" spans="1:2" x14ac:dyDescent="0.3">
      <c r="A2113" s="113" t="s">
        <v>87</v>
      </c>
      <c r="B2113" s="113" t="s">
        <v>17</v>
      </c>
    </row>
    <row r="2114" spans="1:2" x14ac:dyDescent="0.3">
      <c r="A2114" s="113" t="s">
        <v>97</v>
      </c>
      <c r="B2114" s="113" t="s">
        <v>115</v>
      </c>
    </row>
    <row r="2115" spans="1:2" x14ac:dyDescent="0.3">
      <c r="A2115" s="113" t="s">
        <v>97</v>
      </c>
      <c r="B2115" s="113" t="s">
        <v>115</v>
      </c>
    </row>
    <row r="2116" spans="1:2" x14ac:dyDescent="0.3">
      <c r="A2116" s="113" t="s">
        <v>89</v>
      </c>
      <c r="B2116" s="113" t="s">
        <v>17</v>
      </c>
    </row>
    <row r="2117" spans="1:2" x14ac:dyDescent="0.3">
      <c r="A2117" s="113" t="s">
        <v>89</v>
      </c>
      <c r="B2117" s="113" t="s">
        <v>115</v>
      </c>
    </row>
    <row r="2118" spans="1:2" x14ac:dyDescent="0.3">
      <c r="A2118" s="113" t="s">
        <v>89</v>
      </c>
      <c r="B2118" s="113" t="s">
        <v>115</v>
      </c>
    </row>
    <row r="2119" spans="1:2" x14ac:dyDescent="0.3">
      <c r="A2119" s="113" t="s">
        <v>89</v>
      </c>
      <c r="B2119" s="113" t="s">
        <v>115</v>
      </c>
    </row>
    <row r="2120" spans="1:2" x14ac:dyDescent="0.3">
      <c r="A2120" s="113" t="s">
        <v>89</v>
      </c>
      <c r="B2120" s="113" t="s">
        <v>17</v>
      </c>
    </row>
    <row r="2121" spans="1:2" x14ac:dyDescent="0.3">
      <c r="A2121" s="113" t="s">
        <v>89</v>
      </c>
      <c r="B2121" s="113" t="s">
        <v>115</v>
      </c>
    </row>
    <row r="2122" spans="1:2" x14ac:dyDescent="0.3">
      <c r="A2122" s="113" t="s">
        <v>89</v>
      </c>
      <c r="B2122" s="113" t="s">
        <v>115</v>
      </c>
    </row>
    <row r="2123" spans="1:2" x14ac:dyDescent="0.3">
      <c r="A2123" s="113" t="s">
        <v>89</v>
      </c>
      <c r="B2123" s="113" t="s">
        <v>115</v>
      </c>
    </row>
    <row r="2124" spans="1:2" x14ac:dyDescent="0.3">
      <c r="A2124" s="113" t="s">
        <v>89</v>
      </c>
      <c r="B2124" s="113" t="s">
        <v>115</v>
      </c>
    </row>
    <row r="2125" spans="1:2" x14ac:dyDescent="0.3">
      <c r="A2125" s="113" t="s">
        <v>89</v>
      </c>
      <c r="B2125" s="113" t="s">
        <v>115</v>
      </c>
    </row>
    <row r="2126" spans="1:2" x14ac:dyDescent="0.3">
      <c r="A2126" s="113" t="s">
        <v>89</v>
      </c>
      <c r="B2126" s="113" t="s">
        <v>115</v>
      </c>
    </row>
    <row r="2127" spans="1:2" x14ac:dyDescent="0.3">
      <c r="A2127" s="113" t="s">
        <v>89</v>
      </c>
      <c r="B2127" s="113" t="s">
        <v>115</v>
      </c>
    </row>
    <row r="2128" spans="1:2" x14ac:dyDescent="0.3">
      <c r="A2128" s="113" t="s">
        <v>89</v>
      </c>
      <c r="B2128" s="113" t="s">
        <v>115</v>
      </c>
    </row>
    <row r="2129" spans="1:2" x14ac:dyDescent="0.3">
      <c r="A2129" s="113" t="s">
        <v>89</v>
      </c>
      <c r="B2129" s="113" t="s">
        <v>115</v>
      </c>
    </row>
    <row r="2130" spans="1:2" x14ac:dyDescent="0.3">
      <c r="A2130" s="113" t="s">
        <v>79</v>
      </c>
      <c r="B2130" s="113" t="s">
        <v>115</v>
      </c>
    </row>
    <row r="2131" spans="1:2" x14ac:dyDescent="0.3">
      <c r="A2131" s="113" t="s">
        <v>79</v>
      </c>
      <c r="B2131" s="113" t="s">
        <v>115</v>
      </c>
    </row>
    <row r="2132" spans="1:2" x14ac:dyDescent="0.3">
      <c r="A2132" s="113" t="s">
        <v>79</v>
      </c>
      <c r="B2132" s="113" t="s">
        <v>115</v>
      </c>
    </row>
    <row r="2133" spans="1:2" x14ac:dyDescent="0.3">
      <c r="A2133" s="113" t="s">
        <v>79</v>
      </c>
      <c r="B2133" s="113" t="s">
        <v>115</v>
      </c>
    </row>
    <row r="2134" spans="1:2" x14ac:dyDescent="0.3">
      <c r="A2134" s="113" t="s">
        <v>79</v>
      </c>
      <c r="B2134" s="113" t="s">
        <v>115</v>
      </c>
    </row>
    <row r="2135" spans="1:2" x14ac:dyDescent="0.3">
      <c r="A2135" s="113" t="s">
        <v>79</v>
      </c>
      <c r="B2135" s="113" t="s">
        <v>115</v>
      </c>
    </row>
    <row r="2136" spans="1:2" x14ac:dyDescent="0.3">
      <c r="A2136" s="113" t="s">
        <v>79</v>
      </c>
      <c r="B2136" s="113" t="s">
        <v>115</v>
      </c>
    </row>
    <row r="2137" spans="1:2" x14ac:dyDescent="0.3">
      <c r="A2137" s="113" t="s">
        <v>79</v>
      </c>
      <c r="B2137" s="113" t="s">
        <v>115</v>
      </c>
    </row>
    <row r="2138" spans="1:2" x14ac:dyDescent="0.3">
      <c r="A2138" s="113" t="s">
        <v>79</v>
      </c>
      <c r="B2138" s="113" t="s">
        <v>115</v>
      </c>
    </row>
    <row r="2139" spans="1:2" x14ac:dyDescent="0.3">
      <c r="A2139" s="113" t="s">
        <v>79</v>
      </c>
      <c r="B2139" s="113" t="s">
        <v>115</v>
      </c>
    </row>
    <row r="2140" spans="1:2" x14ac:dyDescent="0.3">
      <c r="A2140" s="113" t="s">
        <v>79</v>
      </c>
      <c r="B2140" s="113" t="s">
        <v>115</v>
      </c>
    </row>
    <row r="2141" spans="1:2" x14ac:dyDescent="0.3">
      <c r="A2141" s="113" t="s">
        <v>79</v>
      </c>
      <c r="B2141" s="113" t="s">
        <v>115</v>
      </c>
    </row>
    <row r="2142" spans="1:2" x14ac:dyDescent="0.3">
      <c r="A2142" s="113" t="s">
        <v>79</v>
      </c>
      <c r="B2142" s="113" t="s">
        <v>115</v>
      </c>
    </row>
    <row r="2143" spans="1:2" x14ac:dyDescent="0.3">
      <c r="A2143" s="113" t="s">
        <v>104</v>
      </c>
      <c r="B2143" s="113" t="s">
        <v>115</v>
      </c>
    </row>
    <row r="2144" spans="1:2" x14ac:dyDescent="0.3">
      <c r="A2144" s="113" t="s">
        <v>46</v>
      </c>
      <c r="B2144" s="113" t="s">
        <v>29</v>
      </c>
    </row>
    <row r="2145" spans="1:2" x14ac:dyDescent="0.3">
      <c r="A2145" s="113" t="s">
        <v>46</v>
      </c>
      <c r="B2145" s="113" t="s">
        <v>29</v>
      </c>
    </row>
    <row r="2146" spans="1:2" x14ac:dyDescent="0.3">
      <c r="A2146" s="113" t="s">
        <v>101</v>
      </c>
      <c r="B2146" s="113" t="s">
        <v>17</v>
      </c>
    </row>
    <row r="2147" spans="1:2" x14ac:dyDescent="0.3">
      <c r="A2147" s="113" t="s">
        <v>101</v>
      </c>
      <c r="B2147" s="113" t="s">
        <v>17</v>
      </c>
    </row>
    <row r="2148" spans="1:2" x14ac:dyDescent="0.3">
      <c r="A2148" s="113" t="s">
        <v>101</v>
      </c>
      <c r="B2148" s="113" t="s">
        <v>17</v>
      </c>
    </row>
    <row r="2149" spans="1:2" x14ac:dyDescent="0.3">
      <c r="A2149" s="113" t="s">
        <v>101</v>
      </c>
      <c r="B2149" s="113" t="s">
        <v>17</v>
      </c>
    </row>
    <row r="2150" spans="1:2" x14ac:dyDescent="0.3">
      <c r="A2150" s="113" t="s">
        <v>101</v>
      </c>
      <c r="B2150" s="113" t="s">
        <v>17</v>
      </c>
    </row>
    <row r="2151" spans="1:2" x14ac:dyDescent="0.3">
      <c r="A2151" s="113" t="s">
        <v>101</v>
      </c>
      <c r="B2151" s="113" t="s">
        <v>17</v>
      </c>
    </row>
    <row r="2152" spans="1:2" x14ac:dyDescent="0.3">
      <c r="A2152" s="113" t="s">
        <v>3559</v>
      </c>
      <c r="B2152" s="113" t="s">
        <v>17</v>
      </c>
    </row>
    <row r="2153" spans="1:2" x14ac:dyDescent="0.3">
      <c r="A2153" s="113" t="s">
        <v>3559</v>
      </c>
      <c r="B2153" s="113" t="s">
        <v>17</v>
      </c>
    </row>
    <row r="2154" spans="1:2" x14ac:dyDescent="0.3">
      <c r="A2154" s="113" t="s">
        <v>3559</v>
      </c>
      <c r="B2154" s="113" t="s">
        <v>17</v>
      </c>
    </row>
    <row r="2155" spans="1:2" x14ac:dyDescent="0.3">
      <c r="A2155" s="113" t="s">
        <v>3559</v>
      </c>
      <c r="B2155" s="113" t="s">
        <v>17</v>
      </c>
    </row>
    <row r="2156" spans="1:2" x14ac:dyDescent="0.3">
      <c r="A2156" s="113" t="s">
        <v>3559</v>
      </c>
      <c r="B2156" s="113" t="s">
        <v>17</v>
      </c>
    </row>
    <row r="2157" spans="1:2" x14ac:dyDescent="0.3">
      <c r="A2157" s="113" t="s">
        <v>3559</v>
      </c>
      <c r="B2157" s="113" t="s">
        <v>17</v>
      </c>
    </row>
    <row r="2158" spans="1:2" x14ac:dyDescent="0.3">
      <c r="A2158" s="113" t="s">
        <v>3559</v>
      </c>
      <c r="B2158" s="113" t="s">
        <v>17</v>
      </c>
    </row>
    <row r="2159" spans="1:2" x14ac:dyDescent="0.3">
      <c r="A2159" s="113" t="s">
        <v>3559</v>
      </c>
      <c r="B2159" s="113" t="s">
        <v>17</v>
      </c>
    </row>
    <row r="2160" spans="1:2" x14ac:dyDescent="0.3">
      <c r="A2160" s="113" t="s">
        <v>3559</v>
      </c>
      <c r="B2160" s="113" t="s">
        <v>17</v>
      </c>
    </row>
    <row r="2161" spans="1:2" x14ac:dyDescent="0.3">
      <c r="A2161" s="113" t="s">
        <v>3559</v>
      </c>
      <c r="B2161" s="113" t="s">
        <v>17</v>
      </c>
    </row>
    <row r="2162" spans="1:2" x14ac:dyDescent="0.3">
      <c r="A2162" s="113" t="s">
        <v>3559</v>
      </c>
      <c r="B2162" s="113" t="s">
        <v>17</v>
      </c>
    </row>
    <row r="2163" spans="1:2" x14ac:dyDescent="0.3">
      <c r="A2163" s="113" t="s">
        <v>14</v>
      </c>
      <c r="B2163" s="113" t="s">
        <v>15</v>
      </c>
    </row>
    <row r="2164" spans="1:2" x14ac:dyDescent="0.3">
      <c r="A2164" s="113" t="s">
        <v>14</v>
      </c>
      <c r="B2164" s="113" t="s">
        <v>15</v>
      </c>
    </row>
    <row r="2165" spans="1:2" x14ac:dyDescent="0.3">
      <c r="A2165" s="113" t="s">
        <v>18</v>
      </c>
      <c r="B2165" s="113" t="s">
        <v>115</v>
      </c>
    </row>
    <row r="2166" spans="1:2" x14ac:dyDescent="0.3">
      <c r="A2166" s="113" t="s">
        <v>18</v>
      </c>
      <c r="B2166" s="113" t="s">
        <v>115</v>
      </c>
    </row>
    <row r="2167" spans="1:2" x14ac:dyDescent="0.3">
      <c r="A2167" s="113" t="s">
        <v>18</v>
      </c>
      <c r="B2167" s="113" t="s">
        <v>115</v>
      </c>
    </row>
    <row r="2168" spans="1:2" x14ac:dyDescent="0.3">
      <c r="A2168" s="113" t="s">
        <v>18</v>
      </c>
      <c r="B2168" s="113" t="s">
        <v>115</v>
      </c>
    </row>
    <row r="2169" spans="1:2" x14ac:dyDescent="0.3">
      <c r="A2169" s="113" t="s">
        <v>18</v>
      </c>
      <c r="B2169" s="113" t="s">
        <v>115</v>
      </c>
    </row>
    <row r="2170" spans="1:2" x14ac:dyDescent="0.3">
      <c r="A2170" s="113" t="s">
        <v>18</v>
      </c>
      <c r="B2170" s="113" t="s">
        <v>115</v>
      </c>
    </row>
    <row r="2171" spans="1:2" x14ac:dyDescent="0.3">
      <c r="A2171" s="113" t="s">
        <v>18</v>
      </c>
      <c r="B2171" s="113" t="s">
        <v>115</v>
      </c>
    </row>
    <row r="2172" spans="1:2" x14ac:dyDescent="0.3">
      <c r="A2172" s="113" t="s">
        <v>18</v>
      </c>
      <c r="B2172" s="113" t="s">
        <v>115</v>
      </c>
    </row>
    <row r="2173" spans="1:2" x14ac:dyDescent="0.3">
      <c r="A2173" s="113" t="s">
        <v>18</v>
      </c>
      <c r="B2173" s="113" t="s">
        <v>115</v>
      </c>
    </row>
    <row r="2174" spans="1:2" x14ac:dyDescent="0.3">
      <c r="A2174" s="113" t="s">
        <v>18</v>
      </c>
      <c r="B2174" s="113" t="s">
        <v>115</v>
      </c>
    </row>
    <row r="2175" spans="1:2" x14ac:dyDescent="0.3">
      <c r="A2175" s="113" t="s">
        <v>18</v>
      </c>
      <c r="B2175" s="113" t="s">
        <v>115</v>
      </c>
    </row>
    <row r="2176" spans="1:2" x14ac:dyDescent="0.3">
      <c r="A2176" s="113" t="s">
        <v>18</v>
      </c>
      <c r="B2176" s="113" t="s">
        <v>115</v>
      </c>
    </row>
    <row r="2177" spans="1:2" x14ac:dyDescent="0.3">
      <c r="A2177" s="113" t="s">
        <v>18</v>
      </c>
      <c r="B2177" s="113" t="s">
        <v>115</v>
      </c>
    </row>
    <row r="2178" spans="1:2" x14ac:dyDescent="0.3">
      <c r="A2178" s="113" t="s">
        <v>18</v>
      </c>
      <c r="B2178" s="113" t="s">
        <v>115</v>
      </c>
    </row>
    <row r="2179" spans="1:2" x14ac:dyDescent="0.3">
      <c r="A2179" s="113" t="s">
        <v>18</v>
      </c>
      <c r="B2179" s="113" t="s">
        <v>115</v>
      </c>
    </row>
    <row r="2180" spans="1:2" x14ac:dyDescent="0.3">
      <c r="A2180" s="113" t="s">
        <v>18</v>
      </c>
      <c r="B2180" s="113" t="s">
        <v>115</v>
      </c>
    </row>
    <row r="2181" spans="1:2" x14ac:dyDescent="0.3">
      <c r="A2181" s="113" t="s">
        <v>18</v>
      </c>
      <c r="B2181" s="113" t="s">
        <v>115</v>
      </c>
    </row>
    <row r="2182" spans="1:2" x14ac:dyDescent="0.3">
      <c r="A2182" s="113" t="s">
        <v>18</v>
      </c>
      <c r="B2182" s="113" t="s">
        <v>115</v>
      </c>
    </row>
    <row r="2183" spans="1:2" x14ac:dyDescent="0.3">
      <c r="A2183" s="113" t="s">
        <v>18</v>
      </c>
      <c r="B2183" s="113" t="s">
        <v>115</v>
      </c>
    </row>
    <row r="2184" spans="1:2" x14ac:dyDescent="0.3">
      <c r="A2184" s="113" t="s">
        <v>18</v>
      </c>
      <c r="B2184" s="113" t="s">
        <v>115</v>
      </c>
    </row>
    <row r="2185" spans="1:2" x14ac:dyDescent="0.3">
      <c r="A2185" s="113" t="s">
        <v>18</v>
      </c>
      <c r="B2185" s="113" t="s">
        <v>115</v>
      </c>
    </row>
    <row r="2186" spans="1:2" x14ac:dyDescent="0.3">
      <c r="A2186" s="113" t="s">
        <v>18</v>
      </c>
      <c r="B2186" s="113" t="s">
        <v>115</v>
      </c>
    </row>
    <row r="2187" spans="1:2" x14ac:dyDescent="0.3">
      <c r="A2187" s="113" t="s">
        <v>18</v>
      </c>
      <c r="B2187" s="113" t="s">
        <v>115</v>
      </c>
    </row>
    <row r="2188" spans="1:2" x14ac:dyDescent="0.3">
      <c r="A2188" s="113" t="s">
        <v>18</v>
      </c>
      <c r="B2188" s="113" t="s">
        <v>115</v>
      </c>
    </row>
    <row r="2189" spans="1:2" x14ac:dyDescent="0.3">
      <c r="A2189" s="113" t="s">
        <v>18</v>
      </c>
      <c r="B2189" s="113" t="s">
        <v>115</v>
      </c>
    </row>
    <row r="2190" spans="1:2" x14ac:dyDescent="0.3">
      <c r="A2190" s="113" t="s">
        <v>18</v>
      </c>
      <c r="B2190" s="113" t="s">
        <v>115</v>
      </c>
    </row>
    <row r="2191" spans="1:2" x14ac:dyDescent="0.3">
      <c r="A2191" s="113" t="s">
        <v>18</v>
      </c>
      <c r="B2191" s="113" t="s">
        <v>115</v>
      </c>
    </row>
    <row r="2192" spans="1:2" x14ac:dyDescent="0.3">
      <c r="A2192" s="113" t="s">
        <v>18</v>
      </c>
      <c r="B2192" s="113" t="s">
        <v>115</v>
      </c>
    </row>
    <row r="2193" spans="1:2" x14ac:dyDescent="0.3">
      <c r="A2193" s="113" t="s">
        <v>18</v>
      </c>
      <c r="B2193" s="113" t="s">
        <v>115</v>
      </c>
    </row>
    <row r="2194" spans="1:2" x14ac:dyDescent="0.3">
      <c r="A2194" s="113" t="s">
        <v>18</v>
      </c>
      <c r="B2194" s="113" t="s">
        <v>115</v>
      </c>
    </row>
    <row r="2195" spans="1:2" x14ac:dyDescent="0.3">
      <c r="A2195" s="113" t="s">
        <v>18</v>
      </c>
      <c r="B2195" s="113" t="s">
        <v>115</v>
      </c>
    </row>
    <row r="2196" spans="1:2" x14ac:dyDescent="0.3">
      <c r="A2196" s="113" t="s">
        <v>18</v>
      </c>
      <c r="B2196" s="113" t="s">
        <v>115</v>
      </c>
    </row>
    <row r="2197" spans="1:2" x14ac:dyDescent="0.3">
      <c r="A2197" s="113" t="s">
        <v>21</v>
      </c>
      <c r="B2197" s="113" t="s">
        <v>17</v>
      </c>
    </row>
    <row r="2198" spans="1:2" x14ac:dyDescent="0.3">
      <c r="A2198" s="113" t="s">
        <v>26</v>
      </c>
      <c r="B2198" s="114" t="s">
        <v>127</v>
      </c>
    </row>
    <row r="2199" spans="1:2" x14ac:dyDescent="0.3">
      <c r="A2199" s="113" t="s">
        <v>26</v>
      </c>
      <c r="B2199" s="114" t="s">
        <v>127</v>
      </c>
    </row>
    <row r="2200" spans="1:2" x14ac:dyDescent="0.3">
      <c r="A2200" s="113" t="s">
        <v>3607</v>
      </c>
      <c r="B2200" s="113" t="s">
        <v>115</v>
      </c>
    </row>
    <row r="2201" spans="1:2" x14ac:dyDescent="0.3">
      <c r="A2201" s="113" t="s">
        <v>28</v>
      </c>
      <c r="B2201" s="113" t="s">
        <v>17</v>
      </c>
    </row>
    <row r="2202" spans="1:2" x14ac:dyDescent="0.3">
      <c r="A2202" s="113" t="s">
        <v>30</v>
      </c>
      <c r="B2202" s="113" t="s">
        <v>17</v>
      </c>
    </row>
    <row r="2203" spans="1:2" x14ac:dyDescent="0.3">
      <c r="A2203" s="113" t="s">
        <v>30</v>
      </c>
      <c r="B2203" s="113" t="s">
        <v>17</v>
      </c>
    </row>
    <row r="2204" spans="1:2" x14ac:dyDescent="0.3">
      <c r="A2204" s="113" t="s">
        <v>30</v>
      </c>
      <c r="B2204" s="113" t="s">
        <v>17</v>
      </c>
    </row>
    <row r="2205" spans="1:2" x14ac:dyDescent="0.3">
      <c r="A2205" s="113" t="s">
        <v>30</v>
      </c>
      <c r="B2205" s="113" t="s">
        <v>17</v>
      </c>
    </row>
    <row r="2206" spans="1:2" x14ac:dyDescent="0.3">
      <c r="A2206" s="113" t="s">
        <v>30</v>
      </c>
      <c r="B2206" s="113" t="s">
        <v>17</v>
      </c>
    </row>
    <row r="2207" spans="1:2" x14ac:dyDescent="0.3">
      <c r="A2207" s="113" t="s">
        <v>30</v>
      </c>
      <c r="B2207" s="113" t="s">
        <v>17</v>
      </c>
    </row>
    <row r="2208" spans="1:2" x14ac:dyDescent="0.3">
      <c r="A2208" s="113" t="s">
        <v>30</v>
      </c>
      <c r="B2208" s="113" t="s">
        <v>17</v>
      </c>
    </row>
    <row r="2209" spans="1:2" x14ac:dyDescent="0.3">
      <c r="A2209" s="113" t="s">
        <v>30</v>
      </c>
      <c r="B2209" s="113" t="s">
        <v>17</v>
      </c>
    </row>
    <row r="2210" spans="1:2" x14ac:dyDescent="0.3">
      <c r="A2210" s="113" t="s">
        <v>30</v>
      </c>
      <c r="B2210" s="113" t="s">
        <v>17</v>
      </c>
    </row>
    <row r="2211" spans="1:2" x14ac:dyDescent="0.3">
      <c r="A2211" s="113" t="s">
        <v>30</v>
      </c>
      <c r="B2211" s="113" t="s">
        <v>17</v>
      </c>
    </row>
    <row r="2212" spans="1:2" x14ac:dyDescent="0.3">
      <c r="A2212" s="113" t="s">
        <v>30</v>
      </c>
      <c r="B2212" s="113" t="s">
        <v>17</v>
      </c>
    </row>
    <row r="2213" spans="1:2" x14ac:dyDescent="0.3">
      <c r="A2213" s="113" t="s">
        <v>30</v>
      </c>
      <c r="B2213" s="113" t="s">
        <v>17</v>
      </c>
    </row>
    <row r="2214" spans="1:2" x14ac:dyDescent="0.3">
      <c r="A2214" s="113" t="s">
        <v>30</v>
      </c>
      <c r="B2214" s="113" t="s">
        <v>17</v>
      </c>
    </row>
    <row r="2215" spans="1:2" x14ac:dyDescent="0.3">
      <c r="A2215" s="113" t="s">
        <v>30</v>
      </c>
      <c r="B2215" s="113" t="s">
        <v>17</v>
      </c>
    </row>
    <row r="2216" spans="1:2" x14ac:dyDescent="0.3">
      <c r="A2216" s="113" t="s">
        <v>30</v>
      </c>
      <c r="B2216" s="113" t="s">
        <v>17</v>
      </c>
    </row>
    <row r="2217" spans="1:2" x14ac:dyDescent="0.3">
      <c r="A2217" s="113" t="s">
        <v>30</v>
      </c>
      <c r="B2217" s="113" t="s">
        <v>17</v>
      </c>
    </row>
    <row r="2218" spans="1:2" x14ac:dyDescent="0.3">
      <c r="A2218" s="113" t="s">
        <v>30</v>
      </c>
      <c r="B2218" s="113" t="s">
        <v>17</v>
      </c>
    </row>
    <row r="2219" spans="1:2" x14ac:dyDescent="0.3">
      <c r="A2219" s="113" t="s">
        <v>30</v>
      </c>
      <c r="B2219" s="113" t="s">
        <v>17</v>
      </c>
    </row>
    <row r="2220" spans="1:2" x14ac:dyDescent="0.3">
      <c r="A2220" s="113" t="s">
        <v>30</v>
      </c>
      <c r="B2220" s="113" t="s">
        <v>17</v>
      </c>
    </row>
    <row r="2221" spans="1:2" x14ac:dyDescent="0.3">
      <c r="A2221" s="113" t="s">
        <v>30</v>
      </c>
      <c r="B2221" s="113" t="s">
        <v>17</v>
      </c>
    </row>
    <row r="2222" spans="1:2" x14ac:dyDescent="0.3">
      <c r="A2222" s="113" t="s">
        <v>30</v>
      </c>
      <c r="B2222" s="113" t="s">
        <v>17</v>
      </c>
    </row>
    <row r="2223" spans="1:2" x14ac:dyDescent="0.3">
      <c r="A2223" s="113" t="s">
        <v>30</v>
      </c>
      <c r="B2223" s="113" t="s">
        <v>17</v>
      </c>
    </row>
    <row r="2224" spans="1:2" x14ac:dyDescent="0.3">
      <c r="A2224" s="113" t="s">
        <v>30</v>
      </c>
      <c r="B2224" s="113" t="s">
        <v>17</v>
      </c>
    </row>
    <row r="2225" spans="1:2" x14ac:dyDescent="0.3">
      <c r="A2225" s="113" t="s">
        <v>30</v>
      </c>
      <c r="B2225" s="113" t="s">
        <v>17</v>
      </c>
    </row>
    <row r="2226" spans="1:2" x14ac:dyDescent="0.3">
      <c r="A2226" s="113" t="s">
        <v>30</v>
      </c>
      <c r="B2226" s="113" t="s">
        <v>17</v>
      </c>
    </row>
    <row r="2227" spans="1:2" x14ac:dyDescent="0.3">
      <c r="A2227" s="113" t="s">
        <v>30</v>
      </c>
      <c r="B2227" s="113" t="s">
        <v>17</v>
      </c>
    </row>
    <row r="2228" spans="1:2" x14ac:dyDescent="0.3">
      <c r="A2228" s="113" t="s">
        <v>30</v>
      </c>
      <c r="B2228" s="113" t="s">
        <v>17</v>
      </c>
    </row>
    <row r="2229" spans="1:2" x14ac:dyDescent="0.3">
      <c r="A2229" s="113" t="s">
        <v>30</v>
      </c>
      <c r="B2229" s="113" t="s">
        <v>17</v>
      </c>
    </row>
    <row r="2230" spans="1:2" x14ac:dyDescent="0.3">
      <c r="A2230" s="113" t="s">
        <v>30</v>
      </c>
      <c r="B2230" s="113" t="s">
        <v>17</v>
      </c>
    </row>
    <row r="2231" spans="1:2" x14ac:dyDescent="0.3">
      <c r="A2231" s="113" t="s">
        <v>30</v>
      </c>
      <c r="B2231" s="113" t="s">
        <v>17</v>
      </c>
    </row>
    <row r="2232" spans="1:2" x14ac:dyDescent="0.3">
      <c r="A2232" s="113" t="s">
        <v>30</v>
      </c>
      <c r="B2232" s="113" t="s">
        <v>17</v>
      </c>
    </row>
    <row r="2233" spans="1:2" x14ac:dyDescent="0.3">
      <c r="A2233" s="113" t="s">
        <v>30</v>
      </c>
      <c r="B2233" s="113" t="s">
        <v>17</v>
      </c>
    </row>
    <row r="2234" spans="1:2" x14ac:dyDescent="0.3">
      <c r="A2234" s="113" t="s">
        <v>30</v>
      </c>
      <c r="B2234" s="113" t="s">
        <v>17</v>
      </c>
    </row>
    <row r="2235" spans="1:2" x14ac:dyDescent="0.3">
      <c r="A2235" s="113" t="s">
        <v>35</v>
      </c>
      <c r="B2235" s="113" t="s">
        <v>115</v>
      </c>
    </row>
    <row r="2236" spans="1:2" x14ac:dyDescent="0.3">
      <c r="A2236" s="113" t="s">
        <v>35</v>
      </c>
      <c r="B2236" s="113" t="s">
        <v>115</v>
      </c>
    </row>
    <row r="2237" spans="1:2" x14ac:dyDescent="0.3">
      <c r="A2237" s="113" t="s">
        <v>31</v>
      </c>
      <c r="B2237" s="113" t="s">
        <v>121</v>
      </c>
    </row>
    <row r="2238" spans="1:2" x14ac:dyDescent="0.3">
      <c r="A2238" s="113" t="s">
        <v>31</v>
      </c>
      <c r="B2238" s="113" t="s">
        <v>121</v>
      </c>
    </row>
    <row r="2239" spans="1:2" x14ac:dyDescent="0.3">
      <c r="A2239" s="113" t="s">
        <v>31</v>
      </c>
      <c r="B2239" s="113" t="s">
        <v>121</v>
      </c>
    </row>
    <row r="2240" spans="1:2" x14ac:dyDescent="0.3">
      <c r="A2240" s="113" t="s">
        <v>31</v>
      </c>
      <c r="B2240" s="113" t="s">
        <v>121</v>
      </c>
    </row>
    <row r="2241" spans="1:2" x14ac:dyDescent="0.3">
      <c r="A2241" s="113" t="s">
        <v>31</v>
      </c>
      <c r="B2241" s="113" t="s">
        <v>121</v>
      </c>
    </row>
    <row r="2242" spans="1:2" x14ac:dyDescent="0.3">
      <c r="A2242" s="113" t="s">
        <v>31</v>
      </c>
      <c r="B2242" s="113" t="s">
        <v>121</v>
      </c>
    </row>
    <row r="2243" spans="1:2" x14ac:dyDescent="0.3">
      <c r="A2243" s="113" t="s">
        <v>43</v>
      </c>
      <c r="B2243" s="113" t="s">
        <v>29</v>
      </c>
    </row>
    <row r="2244" spans="1:2" x14ac:dyDescent="0.3">
      <c r="A2244" s="113" t="s">
        <v>43</v>
      </c>
      <c r="B2244" s="113" t="s">
        <v>29</v>
      </c>
    </row>
    <row r="2245" spans="1:2" x14ac:dyDescent="0.3">
      <c r="A2245" s="113" t="s">
        <v>48</v>
      </c>
      <c r="B2245" s="113" t="s">
        <v>17</v>
      </c>
    </row>
    <row r="2246" spans="1:2" x14ac:dyDescent="0.3">
      <c r="A2246" s="113" t="s">
        <v>41</v>
      </c>
      <c r="B2246" s="113" t="s">
        <v>17</v>
      </c>
    </row>
    <row r="2247" spans="1:2" x14ac:dyDescent="0.3">
      <c r="A2247" s="113" t="s">
        <v>56</v>
      </c>
      <c r="B2247" s="113" t="s">
        <v>17</v>
      </c>
    </row>
    <row r="2248" spans="1:2" x14ac:dyDescent="0.3">
      <c r="A2248" s="113" t="s">
        <v>50</v>
      </c>
      <c r="B2248" s="113" t="s">
        <v>25</v>
      </c>
    </row>
    <row r="2249" spans="1:2" x14ac:dyDescent="0.3">
      <c r="A2249" s="113" t="s">
        <v>50</v>
      </c>
      <c r="B2249" s="113" t="s">
        <v>25</v>
      </c>
    </row>
    <row r="2250" spans="1:2" x14ac:dyDescent="0.3">
      <c r="A2250" s="113" t="s">
        <v>50</v>
      </c>
      <c r="B2250" s="113" t="s">
        <v>25</v>
      </c>
    </row>
    <row r="2251" spans="1:2" x14ac:dyDescent="0.3">
      <c r="A2251" s="113" t="s">
        <v>50</v>
      </c>
      <c r="B2251" s="113" t="s">
        <v>25</v>
      </c>
    </row>
    <row r="2252" spans="1:2" x14ac:dyDescent="0.3">
      <c r="A2252" s="113" t="s">
        <v>50</v>
      </c>
      <c r="B2252" s="113" t="s">
        <v>25</v>
      </c>
    </row>
    <row r="2253" spans="1:2" x14ac:dyDescent="0.3">
      <c r="A2253" s="113" t="s">
        <v>3790</v>
      </c>
      <c r="B2253" s="113" t="s">
        <v>115</v>
      </c>
    </row>
    <row r="2254" spans="1:2" x14ac:dyDescent="0.3">
      <c r="A2254" s="113" t="s">
        <v>3790</v>
      </c>
      <c r="B2254" s="113" t="s">
        <v>115</v>
      </c>
    </row>
    <row r="2255" spans="1:2" x14ac:dyDescent="0.3">
      <c r="A2255" s="113" t="s">
        <v>54</v>
      </c>
      <c r="B2255" s="113" t="s">
        <v>115</v>
      </c>
    </row>
    <row r="2256" spans="1:2" x14ac:dyDescent="0.3">
      <c r="A2256" s="113" t="s">
        <v>54</v>
      </c>
      <c r="B2256" s="113" t="s">
        <v>115</v>
      </c>
    </row>
    <row r="2257" spans="1:2" x14ac:dyDescent="0.3">
      <c r="A2257" s="113" t="s">
        <v>54</v>
      </c>
      <c r="B2257" s="113" t="s">
        <v>115</v>
      </c>
    </row>
    <row r="2258" spans="1:2" x14ac:dyDescent="0.3">
      <c r="A2258" s="113" t="s">
        <v>104</v>
      </c>
      <c r="B2258" s="113" t="s">
        <v>115</v>
      </c>
    </row>
    <row r="2259" spans="1:2" x14ac:dyDescent="0.3">
      <c r="A2259" s="113" t="s">
        <v>104</v>
      </c>
      <c r="B2259" s="113" t="s">
        <v>115</v>
      </c>
    </row>
    <row r="2260" spans="1:2" x14ac:dyDescent="0.3">
      <c r="A2260" s="113" t="s">
        <v>57</v>
      </c>
      <c r="B2260" s="113" t="s">
        <v>17</v>
      </c>
    </row>
    <row r="2261" spans="1:2" x14ac:dyDescent="0.3">
      <c r="A2261" s="113" t="s">
        <v>57</v>
      </c>
      <c r="B2261" s="113" t="s">
        <v>17</v>
      </c>
    </row>
    <row r="2262" spans="1:2" x14ac:dyDescent="0.3">
      <c r="A2262" s="113" t="s">
        <v>36</v>
      </c>
      <c r="B2262" s="113" t="s">
        <v>17</v>
      </c>
    </row>
    <row r="2263" spans="1:2" x14ac:dyDescent="0.3">
      <c r="A2263" s="113" t="s">
        <v>36</v>
      </c>
      <c r="B2263" s="113" t="s">
        <v>17</v>
      </c>
    </row>
    <row r="2264" spans="1:2" x14ac:dyDescent="0.3">
      <c r="A2264" s="113" t="s">
        <v>62</v>
      </c>
      <c r="B2264" s="113" t="s">
        <v>121</v>
      </c>
    </row>
    <row r="2265" spans="1:2" x14ac:dyDescent="0.3">
      <c r="A2265" s="113" t="s">
        <v>3665</v>
      </c>
      <c r="B2265" s="113" t="s">
        <v>121</v>
      </c>
    </row>
    <row r="2266" spans="1:2" x14ac:dyDescent="0.3">
      <c r="A2266" s="113" t="s">
        <v>3665</v>
      </c>
      <c r="B2266" s="113" t="s">
        <v>121</v>
      </c>
    </row>
    <row r="2267" spans="1:2" x14ac:dyDescent="0.3">
      <c r="A2267" s="113" t="s">
        <v>3665</v>
      </c>
      <c r="B2267" s="113" t="s">
        <v>121</v>
      </c>
    </row>
    <row r="2268" spans="1:2" x14ac:dyDescent="0.3">
      <c r="A2268" s="113" t="s">
        <v>3665</v>
      </c>
      <c r="B2268" s="113" t="s">
        <v>121</v>
      </c>
    </row>
    <row r="2269" spans="1:2" x14ac:dyDescent="0.3">
      <c r="A2269" s="113" t="s">
        <v>3665</v>
      </c>
      <c r="B2269" s="113" t="s">
        <v>121</v>
      </c>
    </row>
    <row r="2270" spans="1:2" x14ac:dyDescent="0.3">
      <c r="A2270" s="113" t="s">
        <v>3665</v>
      </c>
      <c r="B2270" s="113" t="s">
        <v>121</v>
      </c>
    </row>
    <row r="2271" spans="1:2" x14ac:dyDescent="0.3">
      <c r="A2271" s="113" t="s">
        <v>3665</v>
      </c>
      <c r="B2271" s="113" t="s">
        <v>121</v>
      </c>
    </row>
    <row r="2272" spans="1:2" x14ac:dyDescent="0.3">
      <c r="A2272" s="113" t="s">
        <v>3665</v>
      </c>
      <c r="B2272" s="113" t="s">
        <v>121</v>
      </c>
    </row>
    <row r="2273" spans="1:2" x14ac:dyDescent="0.3">
      <c r="A2273" s="113" t="s">
        <v>3665</v>
      </c>
      <c r="B2273" s="113" t="s">
        <v>121</v>
      </c>
    </row>
    <row r="2274" spans="1:2" x14ac:dyDescent="0.3">
      <c r="A2274" s="113" t="s">
        <v>3665</v>
      </c>
      <c r="B2274" s="113" t="s">
        <v>121</v>
      </c>
    </row>
    <row r="2275" spans="1:2" x14ac:dyDescent="0.3">
      <c r="A2275" s="113" t="s">
        <v>3665</v>
      </c>
      <c r="B2275" s="113" t="s">
        <v>121</v>
      </c>
    </row>
    <row r="2276" spans="1:2" x14ac:dyDescent="0.3">
      <c r="A2276" s="113" t="s">
        <v>66</v>
      </c>
      <c r="B2276" s="113" t="s">
        <v>17</v>
      </c>
    </row>
    <row r="2277" spans="1:2" x14ac:dyDescent="0.3">
      <c r="A2277" s="113" t="s">
        <v>68</v>
      </c>
      <c r="B2277" s="113" t="s">
        <v>17</v>
      </c>
    </row>
    <row r="2278" spans="1:2" x14ac:dyDescent="0.3">
      <c r="A2278" s="113" t="s">
        <v>72</v>
      </c>
      <c r="B2278" s="113" t="s">
        <v>17</v>
      </c>
    </row>
    <row r="2279" spans="1:2" x14ac:dyDescent="0.3">
      <c r="A2279" s="113" t="s">
        <v>73</v>
      </c>
      <c r="B2279" s="113" t="s">
        <v>17</v>
      </c>
    </row>
    <row r="2280" spans="1:2" x14ac:dyDescent="0.3">
      <c r="A2280" s="113" t="s">
        <v>73</v>
      </c>
      <c r="B2280" s="113" t="s">
        <v>17</v>
      </c>
    </row>
    <row r="2281" spans="1:2" x14ac:dyDescent="0.3">
      <c r="A2281" s="113" t="s">
        <v>73</v>
      </c>
      <c r="B2281" s="113" t="s">
        <v>17</v>
      </c>
    </row>
    <row r="2282" spans="1:2" x14ac:dyDescent="0.3">
      <c r="A2282" s="113" t="s">
        <v>63</v>
      </c>
      <c r="B2282" s="113" t="s">
        <v>29</v>
      </c>
    </row>
    <row r="2283" spans="1:2" x14ac:dyDescent="0.3">
      <c r="A2283" s="113" t="s">
        <v>76</v>
      </c>
      <c r="B2283" s="113" t="s">
        <v>17</v>
      </c>
    </row>
    <row r="2284" spans="1:2" x14ac:dyDescent="0.3">
      <c r="A2284" s="113" t="s">
        <v>76</v>
      </c>
      <c r="B2284" s="113" t="s">
        <v>17</v>
      </c>
    </row>
    <row r="2285" spans="1:2" x14ac:dyDescent="0.3">
      <c r="A2285" s="113" t="s">
        <v>76</v>
      </c>
      <c r="B2285" s="113" t="s">
        <v>17</v>
      </c>
    </row>
    <row r="2286" spans="1:2" x14ac:dyDescent="0.3">
      <c r="A2286" s="113" t="s">
        <v>76</v>
      </c>
      <c r="B2286" s="113" t="s">
        <v>17</v>
      </c>
    </row>
    <row r="2287" spans="1:2" x14ac:dyDescent="0.3">
      <c r="A2287" s="113" t="s">
        <v>76</v>
      </c>
      <c r="B2287" s="113" t="s">
        <v>17</v>
      </c>
    </row>
    <row r="2288" spans="1:2" x14ac:dyDescent="0.3">
      <c r="A2288" s="113" t="s">
        <v>76</v>
      </c>
      <c r="B2288" s="113" t="s">
        <v>17</v>
      </c>
    </row>
    <row r="2289" spans="1:2" x14ac:dyDescent="0.3">
      <c r="A2289" s="113" t="s">
        <v>76</v>
      </c>
      <c r="B2289" s="113" t="s">
        <v>17</v>
      </c>
    </row>
    <row r="2290" spans="1:2" x14ac:dyDescent="0.3">
      <c r="A2290" s="113" t="s">
        <v>77</v>
      </c>
      <c r="B2290" s="113" t="s">
        <v>17</v>
      </c>
    </row>
    <row r="2291" spans="1:2" x14ac:dyDescent="0.3">
      <c r="A2291" s="113" t="s">
        <v>77</v>
      </c>
      <c r="B2291" s="113" t="s">
        <v>17</v>
      </c>
    </row>
    <row r="2292" spans="1:2" x14ac:dyDescent="0.3">
      <c r="A2292" s="113" t="s">
        <v>44</v>
      </c>
      <c r="B2292" s="113" t="s">
        <v>115</v>
      </c>
    </row>
    <row r="2293" spans="1:2" x14ac:dyDescent="0.3">
      <c r="A2293" s="113" t="s">
        <v>44</v>
      </c>
      <c r="B2293" s="113" t="s">
        <v>115</v>
      </c>
    </row>
    <row r="2294" spans="1:2" x14ac:dyDescent="0.3">
      <c r="A2294" s="113" t="s">
        <v>44</v>
      </c>
      <c r="B2294" s="113" t="s">
        <v>115</v>
      </c>
    </row>
    <row r="2295" spans="1:2" x14ac:dyDescent="0.3">
      <c r="A2295" s="113" t="s">
        <v>44</v>
      </c>
      <c r="B2295" s="113" t="s">
        <v>115</v>
      </c>
    </row>
    <row r="2296" spans="1:2" x14ac:dyDescent="0.3">
      <c r="A2296" s="113" t="s">
        <v>44</v>
      </c>
      <c r="B2296" s="113" t="s">
        <v>115</v>
      </c>
    </row>
    <row r="2297" spans="1:2" x14ac:dyDescent="0.3">
      <c r="A2297" s="113" t="s">
        <v>44</v>
      </c>
      <c r="B2297" s="113" t="s">
        <v>115</v>
      </c>
    </row>
    <row r="2298" spans="1:2" x14ac:dyDescent="0.3">
      <c r="A2298" s="113" t="s">
        <v>44</v>
      </c>
      <c r="B2298" s="113" t="s">
        <v>115</v>
      </c>
    </row>
    <row r="2299" spans="1:2" x14ac:dyDescent="0.3">
      <c r="A2299" s="113" t="s">
        <v>81</v>
      </c>
      <c r="B2299" s="113" t="s">
        <v>127</v>
      </c>
    </row>
    <row r="2300" spans="1:2" x14ac:dyDescent="0.3">
      <c r="A2300" s="113" t="s">
        <v>42</v>
      </c>
      <c r="B2300" s="113" t="s">
        <v>121</v>
      </c>
    </row>
    <row r="2301" spans="1:2" x14ac:dyDescent="0.3">
      <c r="A2301" s="113" t="s">
        <v>70</v>
      </c>
      <c r="B2301" s="113" t="s">
        <v>34</v>
      </c>
    </row>
    <row r="2302" spans="1:2" x14ac:dyDescent="0.3">
      <c r="A2302" s="113" t="s">
        <v>82</v>
      </c>
      <c r="B2302" s="113" t="s">
        <v>17</v>
      </c>
    </row>
    <row r="2303" spans="1:2" x14ac:dyDescent="0.3">
      <c r="A2303" s="113" t="s">
        <v>82</v>
      </c>
      <c r="B2303" s="113" t="s">
        <v>17</v>
      </c>
    </row>
    <row r="2304" spans="1:2" x14ac:dyDescent="0.3">
      <c r="A2304" s="113" t="s">
        <v>39</v>
      </c>
      <c r="B2304" s="113" t="s">
        <v>29</v>
      </c>
    </row>
    <row r="2305" spans="1:2" x14ac:dyDescent="0.3">
      <c r="A2305" s="113" t="s">
        <v>39</v>
      </c>
      <c r="B2305" s="113" t="s">
        <v>29</v>
      </c>
    </row>
    <row r="2306" spans="1:2" x14ac:dyDescent="0.3">
      <c r="A2306" s="113" t="s">
        <v>39</v>
      </c>
      <c r="B2306" s="113" t="s">
        <v>29</v>
      </c>
    </row>
    <row r="2307" spans="1:2" x14ac:dyDescent="0.3">
      <c r="A2307" s="113" t="s">
        <v>39</v>
      </c>
      <c r="B2307" s="113" t="s">
        <v>29</v>
      </c>
    </row>
    <row r="2308" spans="1:2" x14ac:dyDescent="0.3">
      <c r="A2308" s="113" t="s">
        <v>39</v>
      </c>
      <c r="B2308" s="113" t="s">
        <v>29</v>
      </c>
    </row>
    <row r="2309" spans="1:2" x14ac:dyDescent="0.3">
      <c r="A2309" s="113" t="s">
        <v>39</v>
      </c>
      <c r="B2309" s="113" t="s">
        <v>29</v>
      </c>
    </row>
    <row r="2310" spans="1:2" x14ac:dyDescent="0.3">
      <c r="A2310" s="113" t="s">
        <v>39</v>
      </c>
      <c r="B2310" s="113" t="s">
        <v>29</v>
      </c>
    </row>
    <row r="2311" spans="1:2" x14ac:dyDescent="0.3">
      <c r="A2311" s="113" t="s">
        <v>39</v>
      </c>
      <c r="B2311" s="113" t="s">
        <v>29</v>
      </c>
    </row>
    <row r="2312" spans="1:2" x14ac:dyDescent="0.3">
      <c r="A2312" s="113" t="s">
        <v>39</v>
      </c>
      <c r="B2312" s="113" t="s">
        <v>29</v>
      </c>
    </row>
    <row r="2313" spans="1:2" x14ac:dyDescent="0.3">
      <c r="A2313" s="113" t="s">
        <v>39</v>
      </c>
      <c r="B2313" s="113" t="s">
        <v>29</v>
      </c>
    </row>
    <row r="2314" spans="1:2" x14ac:dyDescent="0.3">
      <c r="A2314" s="113" t="s">
        <v>39</v>
      </c>
      <c r="B2314" s="113" t="s">
        <v>29</v>
      </c>
    </row>
    <row r="2315" spans="1:2" x14ac:dyDescent="0.3">
      <c r="A2315" s="113" t="s">
        <v>39</v>
      </c>
      <c r="B2315" s="113" t="s">
        <v>29</v>
      </c>
    </row>
    <row r="2316" spans="1:2" x14ac:dyDescent="0.3">
      <c r="A2316" s="113" t="s">
        <v>39</v>
      </c>
      <c r="B2316" s="113" t="s">
        <v>29</v>
      </c>
    </row>
    <row r="2317" spans="1:2" x14ac:dyDescent="0.3">
      <c r="A2317" s="113" t="s">
        <v>39</v>
      </c>
      <c r="B2317" s="113" t="s">
        <v>29</v>
      </c>
    </row>
    <row r="2318" spans="1:2" x14ac:dyDescent="0.3">
      <c r="A2318" s="113" t="s">
        <v>39</v>
      </c>
      <c r="B2318" s="113" t="s">
        <v>29</v>
      </c>
    </row>
    <row r="2319" spans="1:2" x14ac:dyDescent="0.3">
      <c r="A2319" s="113" t="s">
        <v>46</v>
      </c>
      <c r="B2319" s="113" t="s">
        <v>29</v>
      </c>
    </row>
    <row r="2320" spans="1:2" x14ac:dyDescent="0.3">
      <c r="A2320" s="113" t="s">
        <v>46</v>
      </c>
      <c r="B2320" s="113" t="s">
        <v>29</v>
      </c>
    </row>
    <row r="2321" spans="1:2" x14ac:dyDescent="0.3">
      <c r="A2321" s="113" t="s">
        <v>46</v>
      </c>
      <c r="B2321" s="113" t="s">
        <v>29</v>
      </c>
    </row>
    <row r="2322" spans="1:2" x14ac:dyDescent="0.3">
      <c r="A2322" s="113" t="s">
        <v>46</v>
      </c>
      <c r="B2322" s="113" t="s">
        <v>29</v>
      </c>
    </row>
    <row r="2323" spans="1:2" x14ac:dyDescent="0.3">
      <c r="A2323" s="113" t="s">
        <v>46</v>
      </c>
      <c r="B2323" s="113" t="s">
        <v>29</v>
      </c>
    </row>
    <row r="2324" spans="1:2" x14ac:dyDescent="0.3">
      <c r="A2324" s="113" t="s">
        <v>46</v>
      </c>
      <c r="B2324" s="113" t="s">
        <v>29</v>
      </c>
    </row>
    <row r="2325" spans="1:2" x14ac:dyDescent="0.3">
      <c r="A2325" s="113" t="s">
        <v>46</v>
      </c>
      <c r="B2325" s="113" t="s">
        <v>29</v>
      </c>
    </row>
    <row r="2326" spans="1:2" x14ac:dyDescent="0.3">
      <c r="A2326" s="113" t="s">
        <v>46</v>
      </c>
      <c r="B2326" s="113" t="s">
        <v>29</v>
      </c>
    </row>
    <row r="2327" spans="1:2" x14ac:dyDescent="0.3">
      <c r="A2327" s="113" t="s">
        <v>46</v>
      </c>
      <c r="B2327" s="113" t="s">
        <v>29</v>
      </c>
    </row>
    <row r="2328" spans="1:2" x14ac:dyDescent="0.3">
      <c r="A2328" s="113" t="s">
        <v>46</v>
      </c>
      <c r="B2328" s="113" t="s">
        <v>29</v>
      </c>
    </row>
    <row r="2329" spans="1:2" x14ac:dyDescent="0.3">
      <c r="A2329" s="113" t="s">
        <v>46</v>
      </c>
      <c r="B2329" s="113" t="s">
        <v>29</v>
      </c>
    </row>
    <row r="2330" spans="1:2" x14ac:dyDescent="0.3">
      <c r="A2330" s="113" t="s">
        <v>46</v>
      </c>
      <c r="B2330" s="113" t="s">
        <v>29</v>
      </c>
    </row>
    <row r="2331" spans="1:2" x14ac:dyDescent="0.3">
      <c r="A2331" s="113" t="s">
        <v>46</v>
      </c>
      <c r="B2331" s="113" t="s">
        <v>29</v>
      </c>
    </row>
    <row r="2332" spans="1:2" x14ac:dyDescent="0.3">
      <c r="A2332" s="113" t="s">
        <v>46</v>
      </c>
      <c r="B2332" s="113" t="s">
        <v>29</v>
      </c>
    </row>
    <row r="2333" spans="1:2" x14ac:dyDescent="0.3">
      <c r="A2333" s="113" t="s">
        <v>46</v>
      </c>
      <c r="B2333" s="113" t="s">
        <v>29</v>
      </c>
    </row>
    <row r="2334" spans="1:2" x14ac:dyDescent="0.3">
      <c r="A2334" s="113" t="s">
        <v>46</v>
      </c>
      <c r="B2334" s="113" t="s">
        <v>29</v>
      </c>
    </row>
    <row r="2335" spans="1:2" x14ac:dyDescent="0.3">
      <c r="A2335" s="113" t="s">
        <v>46</v>
      </c>
      <c r="B2335" s="113" t="s">
        <v>29</v>
      </c>
    </row>
    <row r="2336" spans="1:2" x14ac:dyDescent="0.3">
      <c r="A2336" s="113" t="s">
        <v>46</v>
      </c>
      <c r="B2336" s="113" t="s">
        <v>29</v>
      </c>
    </row>
    <row r="2337" spans="1:2" x14ac:dyDescent="0.3">
      <c r="A2337" s="113" t="s">
        <v>46</v>
      </c>
      <c r="B2337" s="113" t="s">
        <v>29</v>
      </c>
    </row>
    <row r="2338" spans="1:2" x14ac:dyDescent="0.3">
      <c r="A2338" s="113" t="s">
        <v>46</v>
      </c>
      <c r="B2338" s="113" t="s">
        <v>29</v>
      </c>
    </row>
    <row r="2339" spans="1:2" x14ac:dyDescent="0.3">
      <c r="A2339" s="113" t="s">
        <v>46</v>
      </c>
      <c r="B2339" s="113" t="s">
        <v>29</v>
      </c>
    </row>
    <row r="2340" spans="1:2" x14ac:dyDescent="0.3">
      <c r="A2340" s="113" t="s">
        <v>46</v>
      </c>
      <c r="B2340" s="113" t="s">
        <v>29</v>
      </c>
    </row>
    <row r="2341" spans="1:2" x14ac:dyDescent="0.3">
      <c r="A2341" s="113" t="s">
        <v>46</v>
      </c>
      <c r="B2341" s="113" t="s">
        <v>29</v>
      </c>
    </row>
    <row r="2342" spans="1:2" x14ac:dyDescent="0.3">
      <c r="A2342" s="113" t="s">
        <v>46</v>
      </c>
      <c r="B2342" s="113" t="s">
        <v>29</v>
      </c>
    </row>
    <row r="2343" spans="1:2" x14ac:dyDescent="0.3">
      <c r="A2343" s="113" t="s">
        <v>46</v>
      </c>
      <c r="B2343" s="113" t="s">
        <v>29</v>
      </c>
    </row>
    <row r="2344" spans="1:2" x14ac:dyDescent="0.3">
      <c r="A2344" s="113" t="s">
        <v>46</v>
      </c>
      <c r="B2344" s="113" t="s">
        <v>29</v>
      </c>
    </row>
    <row r="2345" spans="1:2" x14ac:dyDescent="0.3">
      <c r="A2345" s="113" t="s">
        <v>46</v>
      </c>
      <c r="B2345" s="113" t="s">
        <v>29</v>
      </c>
    </row>
    <row r="2346" spans="1:2" x14ac:dyDescent="0.3">
      <c r="A2346" s="113" t="s">
        <v>46</v>
      </c>
      <c r="B2346" s="113" t="s">
        <v>29</v>
      </c>
    </row>
    <row r="2347" spans="1:2" x14ac:dyDescent="0.3">
      <c r="A2347" s="113" t="s">
        <v>46</v>
      </c>
      <c r="B2347" s="113" t="s">
        <v>29</v>
      </c>
    </row>
    <row r="2348" spans="1:2" x14ac:dyDescent="0.3">
      <c r="A2348" s="113" t="s">
        <v>46</v>
      </c>
      <c r="B2348" s="113" t="s">
        <v>29</v>
      </c>
    </row>
    <row r="2349" spans="1:2" x14ac:dyDescent="0.3">
      <c r="A2349" s="113" t="s">
        <v>46</v>
      </c>
      <c r="B2349" s="113" t="s">
        <v>29</v>
      </c>
    </row>
    <row r="2350" spans="1:2" x14ac:dyDescent="0.3">
      <c r="A2350" s="113" t="s">
        <v>46</v>
      </c>
      <c r="B2350" s="113" t="s">
        <v>29</v>
      </c>
    </row>
    <row r="2351" spans="1:2" x14ac:dyDescent="0.3">
      <c r="A2351" s="113" t="s">
        <v>46</v>
      </c>
      <c r="B2351" s="113" t="s">
        <v>29</v>
      </c>
    </row>
    <row r="2352" spans="1:2" x14ac:dyDescent="0.3">
      <c r="A2352" s="113" t="s">
        <v>86</v>
      </c>
      <c r="B2352" s="113" t="s">
        <v>17</v>
      </c>
    </row>
    <row r="2353" spans="1:2" x14ac:dyDescent="0.3">
      <c r="A2353" s="113" t="s">
        <v>83</v>
      </c>
      <c r="B2353" s="113" t="s">
        <v>17</v>
      </c>
    </row>
    <row r="2354" spans="1:2" x14ac:dyDescent="0.3">
      <c r="A2354" s="113" t="s">
        <v>83</v>
      </c>
      <c r="B2354" s="113" t="s">
        <v>17</v>
      </c>
    </row>
    <row r="2355" spans="1:2" x14ac:dyDescent="0.3">
      <c r="A2355" s="113" t="s">
        <v>83</v>
      </c>
      <c r="B2355" s="113" t="s">
        <v>17</v>
      </c>
    </row>
    <row r="2356" spans="1:2" x14ac:dyDescent="0.3">
      <c r="A2356" s="113" t="s">
        <v>83</v>
      </c>
      <c r="B2356" s="113" t="s">
        <v>17</v>
      </c>
    </row>
    <row r="2357" spans="1:2" x14ac:dyDescent="0.3">
      <c r="A2357" s="113" t="s">
        <v>85</v>
      </c>
      <c r="B2357" s="113" t="s">
        <v>17</v>
      </c>
    </row>
    <row r="2358" spans="1:2" x14ac:dyDescent="0.3">
      <c r="A2358" s="113" t="s">
        <v>85</v>
      </c>
      <c r="B2358" s="113" t="s">
        <v>17</v>
      </c>
    </row>
    <row r="2359" spans="1:2" x14ac:dyDescent="0.3">
      <c r="A2359" s="113" t="s">
        <v>85</v>
      </c>
      <c r="B2359" s="113" t="s">
        <v>17</v>
      </c>
    </row>
    <row r="2360" spans="1:2" x14ac:dyDescent="0.3">
      <c r="A2360" s="113" t="s">
        <v>85</v>
      </c>
      <c r="B2360" s="113" t="s">
        <v>17</v>
      </c>
    </row>
    <row r="2361" spans="1:2" x14ac:dyDescent="0.3">
      <c r="A2361" s="113" t="s">
        <v>85</v>
      </c>
      <c r="B2361" s="113" t="s">
        <v>17</v>
      </c>
    </row>
    <row r="2362" spans="1:2" x14ac:dyDescent="0.3">
      <c r="A2362" s="113" t="s">
        <v>87</v>
      </c>
      <c r="B2362" s="113" t="s">
        <v>17</v>
      </c>
    </row>
    <row r="2363" spans="1:2" x14ac:dyDescent="0.3">
      <c r="A2363" s="113" t="s">
        <v>87</v>
      </c>
      <c r="B2363" s="113" t="s">
        <v>17</v>
      </c>
    </row>
    <row r="2364" spans="1:2" x14ac:dyDescent="0.3">
      <c r="A2364" s="113" t="s">
        <v>87</v>
      </c>
      <c r="B2364" s="113" t="s">
        <v>17</v>
      </c>
    </row>
    <row r="2365" spans="1:2" x14ac:dyDescent="0.3">
      <c r="A2365" s="113" t="s">
        <v>87</v>
      </c>
      <c r="B2365" s="113" t="s">
        <v>17</v>
      </c>
    </row>
    <row r="2366" spans="1:2" x14ac:dyDescent="0.3">
      <c r="A2366" s="113" t="s">
        <v>87</v>
      </c>
      <c r="B2366" s="113" t="s">
        <v>17</v>
      </c>
    </row>
    <row r="2367" spans="1:2" x14ac:dyDescent="0.3">
      <c r="A2367" s="113" t="s">
        <v>87</v>
      </c>
      <c r="B2367" s="113" t="s">
        <v>17</v>
      </c>
    </row>
    <row r="2368" spans="1:2" x14ac:dyDescent="0.3">
      <c r="A2368" s="113" t="s">
        <v>87</v>
      </c>
      <c r="B2368" s="113" t="s">
        <v>17</v>
      </c>
    </row>
    <row r="2369" spans="1:2" x14ac:dyDescent="0.3">
      <c r="A2369" s="113" t="s">
        <v>87</v>
      </c>
      <c r="B2369" s="113" t="s">
        <v>17</v>
      </c>
    </row>
    <row r="2370" spans="1:2" x14ac:dyDescent="0.3">
      <c r="A2370" s="113" t="s">
        <v>87</v>
      </c>
      <c r="B2370" s="113" t="s">
        <v>17</v>
      </c>
    </row>
    <row r="2371" spans="1:2" x14ac:dyDescent="0.3">
      <c r="A2371" s="113" t="s">
        <v>87</v>
      </c>
      <c r="B2371" s="113" t="s">
        <v>17</v>
      </c>
    </row>
    <row r="2372" spans="1:2" x14ac:dyDescent="0.3">
      <c r="A2372" s="113" t="s">
        <v>87</v>
      </c>
      <c r="B2372" s="113" t="s">
        <v>17</v>
      </c>
    </row>
    <row r="2373" spans="1:2" x14ac:dyDescent="0.3">
      <c r="A2373" s="113" t="s">
        <v>87</v>
      </c>
      <c r="B2373" s="113" t="s">
        <v>17</v>
      </c>
    </row>
    <row r="2374" spans="1:2" x14ac:dyDescent="0.3">
      <c r="A2374" s="113" t="s">
        <v>87</v>
      </c>
      <c r="B2374" s="113" t="s">
        <v>17</v>
      </c>
    </row>
    <row r="2375" spans="1:2" x14ac:dyDescent="0.3">
      <c r="A2375" s="113" t="s">
        <v>89</v>
      </c>
      <c r="B2375" s="113" t="s">
        <v>115</v>
      </c>
    </row>
    <row r="2376" spans="1:2" x14ac:dyDescent="0.3">
      <c r="A2376" s="113" t="s">
        <v>79</v>
      </c>
      <c r="B2376" s="113" t="s">
        <v>17</v>
      </c>
    </row>
    <row r="2377" spans="1:2" x14ac:dyDescent="0.3">
      <c r="A2377" s="113" t="s">
        <v>79</v>
      </c>
      <c r="B2377" s="113" t="s">
        <v>17</v>
      </c>
    </row>
    <row r="2378" spans="1:2" x14ac:dyDescent="0.3">
      <c r="A2378" s="113" t="s">
        <v>21</v>
      </c>
      <c r="B2378" s="113" t="s">
        <v>17</v>
      </c>
    </row>
    <row r="2379" spans="1:2" x14ac:dyDescent="0.3">
      <c r="A2379" s="113" t="s">
        <v>18</v>
      </c>
      <c r="B2379" s="113" t="s">
        <v>115</v>
      </c>
    </row>
    <row r="2380" spans="1:2" x14ac:dyDescent="0.3">
      <c r="A2380" s="113" t="s">
        <v>18</v>
      </c>
      <c r="B2380" s="113" t="s">
        <v>115</v>
      </c>
    </row>
    <row r="2381" spans="1:2" x14ac:dyDescent="0.3">
      <c r="A2381" s="113" t="s">
        <v>18</v>
      </c>
      <c r="B2381" s="113" t="s">
        <v>115</v>
      </c>
    </row>
    <row r="2382" spans="1:2" x14ac:dyDescent="0.3">
      <c r="A2382" s="113" t="s">
        <v>18</v>
      </c>
      <c r="B2382" s="113" t="s">
        <v>115</v>
      </c>
    </row>
    <row r="2383" spans="1:2" x14ac:dyDescent="0.3">
      <c r="A2383" s="113" t="s">
        <v>18</v>
      </c>
      <c r="B2383" s="113" t="s">
        <v>115</v>
      </c>
    </row>
    <row r="2384" spans="1:2" x14ac:dyDescent="0.3">
      <c r="A2384" s="113" t="s">
        <v>18</v>
      </c>
      <c r="B2384" s="113" t="s">
        <v>115</v>
      </c>
    </row>
    <row r="2385" spans="1:2" x14ac:dyDescent="0.3">
      <c r="A2385" s="113" t="s">
        <v>18</v>
      </c>
      <c r="B2385" s="113" t="s">
        <v>115</v>
      </c>
    </row>
    <row r="2386" spans="1:2" x14ac:dyDescent="0.3">
      <c r="A2386" s="113" t="s">
        <v>85</v>
      </c>
      <c r="B2386" s="113" t="s">
        <v>17</v>
      </c>
    </row>
    <row r="2387" spans="1:2" x14ac:dyDescent="0.3">
      <c r="A2387" s="113" t="s">
        <v>66</v>
      </c>
      <c r="B2387" s="113" t="s">
        <v>17</v>
      </c>
    </row>
    <row r="2388" spans="1:2" x14ac:dyDescent="0.3">
      <c r="A2388" s="113" t="s">
        <v>66</v>
      </c>
      <c r="B2388" s="113" t="s">
        <v>17</v>
      </c>
    </row>
    <row r="2389" spans="1:2" x14ac:dyDescent="0.3">
      <c r="A2389" s="113" t="s">
        <v>57</v>
      </c>
      <c r="B2389" s="113" t="s">
        <v>17</v>
      </c>
    </row>
    <row r="2390" spans="1:2" x14ac:dyDescent="0.3">
      <c r="A2390" s="113" t="s">
        <v>87</v>
      </c>
      <c r="B2390" s="113" t="s">
        <v>17</v>
      </c>
    </row>
    <row r="2391" spans="1:2" x14ac:dyDescent="0.3">
      <c r="A2391" s="113" t="s">
        <v>46</v>
      </c>
      <c r="B2391" s="113" t="s">
        <v>29</v>
      </c>
    </row>
    <row r="2392" spans="1:2" x14ac:dyDescent="0.3">
      <c r="A2392" s="113" t="s">
        <v>39</v>
      </c>
      <c r="B2392" s="113" t="s">
        <v>29</v>
      </c>
    </row>
    <row r="2393" spans="1:2" x14ac:dyDescent="0.3">
      <c r="A2393" s="113" t="s">
        <v>18</v>
      </c>
      <c r="B2393" s="113" t="s">
        <v>115</v>
      </c>
    </row>
    <row r="2394" spans="1:2" x14ac:dyDescent="0.3">
      <c r="A2394" s="113" t="s">
        <v>3559</v>
      </c>
      <c r="B2394" s="113" t="s">
        <v>17</v>
      </c>
    </row>
    <row r="2395" spans="1:2" x14ac:dyDescent="0.3">
      <c r="A2395" s="113" t="s">
        <v>18</v>
      </c>
      <c r="B2395" s="113" t="s">
        <v>115</v>
      </c>
    </row>
    <row r="2396" spans="1:2" x14ac:dyDescent="0.3">
      <c r="A2396" s="113" t="s">
        <v>87</v>
      </c>
      <c r="B2396" s="113" t="s">
        <v>17</v>
      </c>
    </row>
    <row r="2397" spans="1:2" x14ac:dyDescent="0.3">
      <c r="A2397" s="113" t="s">
        <v>87</v>
      </c>
      <c r="B2397" s="113" t="s">
        <v>17</v>
      </c>
    </row>
    <row r="2398" spans="1:2" x14ac:dyDescent="0.3">
      <c r="A2398" s="113" t="s">
        <v>77</v>
      </c>
      <c r="B2398" s="113" t="s">
        <v>17</v>
      </c>
    </row>
    <row r="2399" spans="1:2" x14ac:dyDescent="0.3">
      <c r="A2399" s="113" t="s">
        <v>26</v>
      </c>
      <c r="B2399" s="113" t="s">
        <v>127</v>
      </c>
    </row>
    <row r="2400" spans="1:2" x14ac:dyDescent="0.3">
      <c r="A2400" s="113" t="s">
        <v>39</v>
      </c>
      <c r="B2400" s="113" t="s">
        <v>29</v>
      </c>
    </row>
    <row r="2401" spans="1:2" x14ac:dyDescent="0.3">
      <c r="A2401" s="113" t="s">
        <v>46</v>
      </c>
      <c r="B2401" s="113" t="s">
        <v>29</v>
      </c>
    </row>
    <row r="2402" spans="1:2" x14ac:dyDescent="0.3">
      <c r="A2402" s="113" t="s">
        <v>46</v>
      </c>
      <c r="B2402" s="113" t="s">
        <v>29</v>
      </c>
    </row>
    <row r="2403" spans="1:2" x14ac:dyDescent="0.3">
      <c r="A2403" s="113" t="s">
        <v>46</v>
      </c>
      <c r="B2403" s="113" t="s">
        <v>29</v>
      </c>
    </row>
    <row r="2404" spans="1:2" x14ac:dyDescent="0.3">
      <c r="A2404" s="113" t="s">
        <v>39</v>
      </c>
      <c r="B2404" s="113" t="s">
        <v>29</v>
      </c>
    </row>
    <row r="2405" spans="1:2" x14ac:dyDescent="0.3">
      <c r="A2405" s="113" t="s">
        <v>31</v>
      </c>
      <c r="B2405" s="113" t="s">
        <v>121</v>
      </c>
    </row>
    <row r="2406" spans="1:2" x14ac:dyDescent="0.3">
      <c r="A2406" s="113" t="s">
        <v>18</v>
      </c>
      <c r="B2406" s="113" t="s">
        <v>115</v>
      </c>
    </row>
    <row r="2407" spans="1:2" x14ac:dyDescent="0.3">
      <c r="A2407" s="113" t="s">
        <v>30</v>
      </c>
      <c r="B2407" s="113" t="s">
        <v>17</v>
      </c>
    </row>
    <row r="2408" spans="1:2" x14ac:dyDescent="0.3">
      <c r="A2408" s="113" t="s">
        <v>66</v>
      </c>
      <c r="B2408" s="113" t="s">
        <v>17</v>
      </c>
    </row>
    <row r="2409" spans="1:2" x14ac:dyDescent="0.3">
      <c r="A2409" s="113" t="s">
        <v>87</v>
      </c>
      <c r="B2409" s="113" t="s">
        <v>17</v>
      </c>
    </row>
    <row r="2410" spans="1:2" x14ac:dyDescent="0.3">
      <c r="A2410" s="113" t="s">
        <v>30</v>
      </c>
      <c r="B2410" s="113" t="s">
        <v>17</v>
      </c>
    </row>
    <row r="2411" spans="1:2" x14ac:dyDescent="0.3">
      <c r="A2411" s="113" t="s">
        <v>46</v>
      </c>
      <c r="B2411" s="113" t="s">
        <v>29</v>
      </c>
    </row>
    <row r="2412" spans="1:2" x14ac:dyDescent="0.3">
      <c r="A2412" s="113" t="s">
        <v>41</v>
      </c>
      <c r="B2412" s="113" t="s">
        <v>17</v>
      </c>
    </row>
    <row r="2413" spans="1:2" x14ac:dyDescent="0.3">
      <c r="A2413" s="113" t="s">
        <v>87</v>
      </c>
      <c r="B2413" s="113" t="s">
        <v>17</v>
      </c>
    </row>
    <row r="2414" spans="1:2" x14ac:dyDescent="0.3">
      <c r="A2414" s="113" t="s">
        <v>18</v>
      </c>
      <c r="B2414" s="113" t="s">
        <v>115</v>
      </c>
    </row>
    <row r="2415" spans="1:2" x14ac:dyDescent="0.3">
      <c r="A2415" s="113" t="s">
        <v>18</v>
      </c>
      <c r="B2415" s="113" t="s">
        <v>115</v>
      </c>
    </row>
    <row r="2416" spans="1:2" x14ac:dyDescent="0.3">
      <c r="A2416" s="113" t="s">
        <v>18</v>
      </c>
      <c r="B2416" s="113" t="s">
        <v>115</v>
      </c>
    </row>
    <row r="2417" spans="1:2" x14ac:dyDescent="0.3">
      <c r="A2417" s="113" t="s">
        <v>46</v>
      </c>
      <c r="B2417" s="113" t="s">
        <v>29</v>
      </c>
    </row>
    <row r="2418" spans="1:2" x14ac:dyDescent="0.3">
      <c r="A2418" s="113" t="s">
        <v>46</v>
      </c>
      <c r="B2418" s="113" t="s">
        <v>29</v>
      </c>
    </row>
    <row r="2419" spans="1:2" x14ac:dyDescent="0.3">
      <c r="A2419" s="113" t="s">
        <v>46</v>
      </c>
      <c r="B2419" s="113" t="s">
        <v>29</v>
      </c>
    </row>
    <row r="2420" spans="1:2" x14ac:dyDescent="0.3">
      <c r="A2420" s="113" t="s">
        <v>31</v>
      </c>
      <c r="B2420" s="113" t="s">
        <v>121</v>
      </c>
    </row>
    <row r="2421" spans="1:2" x14ac:dyDescent="0.3">
      <c r="A2421" s="113" t="s">
        <v>87</v>
      </c>
      <c r="B2421" s="113" t="s">
        <v>17</v>
      </c>
    </row>
    <row r="2422" spans="1:2" x14ac:dyDescent="0.3">
      <c r="A2422" s="113" t="s">
        <v>73</v>
      </c>
      <c r="B2422" s="113" t="s">
        <v>17</v>
      </c>
    </row>
    <row r="2423" spans="1:2" x14ac:dyDescent="0.3">
      <c r="A2423" s="113" t="s">
        <v>66</v>
      </c>
      <c r="B2423" s="113" t="s">
        <v>17</v>
      </c>
    </row>
    <row r="2424" spans="1:2" x14ac:dyDescent="0.3">
      <c r="A2424" s="113" t="s">
        <v>87</v>
      </c>
      <c r="B2424" s="113" t="s">
        <v>17</v>
      </c>
    </row>
    <row r="2425" spans="1:2" x14ac:dyDescent="0.3">
      <c r="A2425" s="113" t="s">
        <v>87</v>
      </c>
      <c r="B2425" s="113" t="s">
        <v>17</v>
      </c>
    </row>
    <row r="2426" spans="1:2" x14ac:dyDescent="0.3">
      <c r="A2426" s="113" t="s">
        <v>46</v>
      </c>
      <c r="B2426" s="113" t="s">
        <v>29</v>
      </c>
    </row>
    <row r="2427" spans="1:2" x14ac:dyDescent="0.3">
      <c r="A2427" s="113" t="s">
        <v>18</v>
      </c>
      <c r="B2427" s="113" t="s">
        <v>115</v>
      </c>
    </row>
    <row r="2428" spans="1:2" x14ac:dyDescent="0.3">
      <c r="A2428" s="113" t="s">
        <v>30</v>
      </c>
      <c r="B2428" s="113" t="s">
        <v>17</v>
      </c>
    </row>
    <row r="2429" spans="1:2" x14ac:dyDescent="0.3">
      <c r="A2429" s="113" t="s">
        <v>35</v>
      </c>
      <c r="B2429" s="113" t="s">
        <v>17</v>
      </c>
    </row>
    <row r="2430" spans="1:2" x14ac:dyDescent="0.3">
      <c r="A2430" s="113" t="s">
        <v>66</v>
      </c>
      <c r="B2430" s="113" t="s">
        <v>17</v>
      </c>
    </row>
    <row r="2431" spans="1:2" x14ac:dyDescent="0.3">
      <c r="A2431" s="113" t="s">
        <v>66</v>
      </c>
      <c r="B2431" s="113" t="s">
        <v>17</v>
      </c>
    </row>
    <row r="2432" spans="1:2" x14ac:dyDescent="0.3">
      <c r="A2432" s="113" t="s">
        <v>66</v>
      </c>
      <c r="B2432" s="113" t="s">
        <v>17</v>
      </c>
    </row>
    <row r="2433" spans="1:2" x14ac:dyDescent="0.3">
      <c r="A2433" s="113" t="s">
        <v>46</v>
      </c>
      <c r="B2433" s="113" t="s">
        <v>29</v>
      </c>
    </row>
    <row r="2434" spans="1:2" x14ac:dyDescent="0.3">
      <c r="A2434" s="113" t="s">
        <v>18</v>
      </c>
      <c r="B2434" s="113" t="s">
        <v>115</v>
      </c>
    </row>
    <row r="2435" spans="1:2" x14ac:dyDescent="0.3">
      <c r="A2435" s="113" t="s">
        <v>39</v>
      </c>
      <c r="B2435" s="113" t="s">
        <v>29</v>
      </c>
    </row>
    <row r="2436" spans="1:2" x14ac:dyDescent="0.3">
      <c r="A2436" s="113" t="s">
        <v>46</v>
      </c>
      <c r="B2436" s="113" t="s">
        <v>29</v>
      </c>
    </row>
    <row r="2437" spans="1:2" x14ac:dyDescent="0.3">
      <c r="A2437" s="113" t="s">
        <v>46</v>
      </c>
      <c r="B2437" s="113" t="s">
        <v>29</v>
      </c>
    </row>
    <row r="2438" spans="1:2" x14ac:dyDescent="0.3">
      <c r="A2438" s="113" t="s">
        <v>46</v>
      </c>
      <c r="B2438" s="113" t="s">
        <v>29</v>
      </c>
    </row>
    <row r="2439" spans="1:2" x14ac:dyDescent="0.3">
      <c r="A2439" s="113" t="s">
        <v>50</v>
      </c>
      <c r="B2439" s="113" t="s">
        <v>25</v>
      </c>
    </row>
    <row r="2440" spans="1:2" x14ac:dyDescent="0.3">
      <c r="A2440" s="113" t="s">
        <v>18</v>
      </c>
      <c r="B2440" s="113" t="s">
        <v>115</v>
      </c>
    </row>
    <row r="2441" spans="1:2" x14ac:dyDescent="0.3">
      <c r="A2441" s="113" t="s">
        <v>101</v>
      </c>
      <c r="B2441" s="113" t="s">
        <v>17</v>
      </c>
    </row>
    <row r="2442" spans="1:2" x14ac:dyDescent="0.3">
      <c r="A2442" s="113" t="s">
        <v>68</v>
      </c>
      <c r="B2442" s="113" t="s">
        <v>17</v>
      </c>
    </row>
    <row r="2443" spans="1:2" x14ac:dyDescent="0.3">
      <c r="A2443" s="113" t="s">
        <v>30</v>
      </c>
      <c r="B2443" s="113" t="s">
        <v>17</v>
      </c>
    </row>
    <row r="2444" spans="1:2" x14ac:dyDescent="0.3">
      <c r="A2444" s="113" t="s">
        <v>30</v>
      </c>
      <c r="B2444" s="113" t="s">
        <v>17</v>
      </c>
    </row>
    <row r="2445" spans="1:2" x14ac:dyDescent="0.3">
      <c r="A2445" s="113" t="s">
        <v>30</v>
      </c>
      <c r="B2445" s="113" t="s">
        <v>17</v>
      </c>
    </row>
    <row r="2446" spans="1:2" x14ac:dyDescent="0.3">
      <c r="A2446" s="113" t="s">
        <v>30</v>
      </c>
      <c r="B2446" s="113" t="s">
        <v>17</v>
      </c>
    </row>
    <row r="2447" spans="1:2" x14ac:dyDescent="0.3">
      <c r="A2447" s="113" t="s">
        <v>72</v>
      </c>
      <c r="B2447" s="113" t="s">
        <v>17</v>
      </c>
    </row>
    <row r="2448" spans="1:2" x14ac:dyDescent="0.3">
      <c r="A2448" s="113" t="s">
        <v>30</v>
      </c>
      <c r="B2448" s="113" t="s">
        <v>17</v>
      </c>
    </row>
    <row r="2449" spans="1:2" x14ac:dyDescent="0.3">
      <c r="A2449" s="113" t="s">
        <v>30</v>
      </c>
      <c r="B2449" s="113" t="s">
        <v>17</v>
      </c>
    </row>
    <row r="2450" spans="1:2" x14ac:dyDescent="0.3">
      <c r="A2450" s="113" t="s">
        <v>30</v>
      </c>
      <c r="B2450" s="113" t="s">
        <v>17</v>
      </c>
    </row>
    <row r="2451" spans="1:2" x14ac:dyDescent="0.3">
      <c r="A2451" s="113" t="s">
        <v>66</v>
      </c>
      <c r="B2451" s="113" t="s">
        <v>17</v>
      </c>
    </row>
    <row r="2452" spans="1:2" x14ac:dyDescent="0.3">
      <c r="A2452" s="113" t="s">
        <v>30</v>
      </c>
      <c r="B2452" s="113" t="s">
        <v>17</v>
      </c>
    </row>
    <row r="2453" spans="1:2" x14ac:dyDescent="0.3">
      <c r="A2453" s="113" t="s">
        <v>30</v>
      </c>
      <c r="B2453" s="113" t="s">
        <v>17</v>
      </c>
    </row>
    <row r="2454" spans="1:2" x14ac:dyDescent="0.3">
      <c r="A2454" s="113" t="s">
        <v>83</v>
      </c>
      <c r="B2454" s="113" t="s">
        <v>17</v>
      </c>
    </row>
    <row r="2455" spans="1:2" x14ac:dyDescent="0.3">
      <c r="A2455" s="113" t="s">
        <v>82</v>
      </c>
      <c r="B2455" s="113" t="s">
        <v>17</v>
      </c>
    </row>
    <row r="2456" spans="1:2" x14ac:dyDescent="0.3">
      <c r="A2456" s="113" t="s">
        <v>43</v>
      </c>
      <c r="B2456" s="113" t="s">
        <v>29</v>
      </c>
    </row>
    <row r="2457" spans="1:2" x14ac:dyDescent="0.3">
      <c r="A2457" s="113" t="s">
        <v>30</v>
      </c>
      <c r="B2457" s="113" t="s">
        <v>17</v>
      </c>
    </row>
    <row r="2458" spans="1:2" x14ac:dyDescent="0.3">
      <c r="A2458" s="113" t="s">
        <v>18</v>
      </c>
      <c r="B2458" s="113" t="s">
        <v>115</v>
      </c>
    </row>
    <row r="2459" spans="1:2" x14ac:dyDescent="0.3">
      <c r="A2459" s="113" t="s">
        <v>18</v>
      </c>
      <c r="B2459" s="113" t="s">
        <v>115</v>
      </c>
    </row>
    <row r="2460" spans="1:2" x14ac:dyDescent="0.3">
      <c r="A2460" s="113" t="s">
        <v>30</v>
      </c>
      <c r="B2460" s="113" t="s">
        <v>17</v>
      </c>
    </row>
    <row r="2461" spans="1:2" x14ac:dyDescent="0.3">
      <c r="A2461" s="113" t="s">
        <v>30</v>
      </c>
      <c r="B2461" s="113" t="s">
        <v>17</v>
      </c>
    </row>
    <row r="2462" spans="1:2" x14ac:dyDescent="0.3">
      <c r="A2462" s="113" t="s">
        <v>30</v>
      </c>
      <c r="B2462" s="113" t="s">
        <v>17</v>
      </c>
    </row>
    <row r="2463" spans="1:2" x14ac:dyDescent="0.3">
      <c r="A2463" s="113" t="s">
        <v>73</v>
      </c>
      <c r="B2463" s="113" t="s">
        <v>17</v>
      </c>
    </row>
    <row r="2464" spans="1:2" x14ac:dyDescent="0.3">
      <c r="A2464" s="113" t="s">
        <v>18</v>
      </c>
      <c r="B2464" s="113" t="s">
        <v>115</v>
      </c>
    </row>
    <row r="2465" spans="1:2" x14ac:dyDescent="0.3">
      <c r="A2465" s="113" t="s">
        <v>56</v>
      </c>
      <c r="B2465" s="113" t="s">
        <v>17</v>
      </c>
    </row>
    <row r="2466" spans="1:2" x14ac:dyDescent="0.3">
      <c r="A2466" s="113" t="s">
        <v>30</v>
      </c>
      <c r="B2466" s="113" t="s">
        <v>17</v>
      </c>
    </row>
    <row r="2467" spans="1:2" x14ac:dyDescent="0.3">
      <c r="A2467" s="113" t="s">
        <v>30</v>
      </c>
      <c r="B2467" s="113" t="s">
        <v>17</v>
      </c>
    </row>
    <row r="2468" spans="1:2" x14ac:dyDescent="0.3">
      <c r="A2468" s="113" t="s">
        <v>30</v>
      </c>
      <c r="B2468" s="113" t="s">
        <v>17</v>
      </c>
    </row>
    <row r="2469" spans="1:2" x14ac:dyDescent="0.3">
      <c r="A2469" s="113" t="s">
        <v>87</v>
      </c>
      <c r="B2469" s="113" t="s">
        <v>17</v>
      </c>
    </row>
    <row r="2470" spans="1:2" x14ac:dyDescent="0.3">
      <c r="A2470" s="113" t="s">
        <v>82</v>
      </c>
      <c r="B2470" s="113" t="s">
        <v>17</v>
      </c>
    </row>
    <row r="2471" spans="1:2" x14ac:dyDescent="0.3">
      <c r="A2471" s="113" t="s">
        <v>103</v>
      </c>
      <c r="B2471" s="113" t="s">
        <v>17</v>
      </c>
    </row>
    <row r="2472" spans="1:2" x14ac:dyDescent="0.3">
      <c r="A2472" s="113" t="s">
        <v>43</v>
      </c>
      <c r="B2472" s="113" t="s">
        <v>29</v>
      </c>
    </row>
    <row r="2473" spans="1:2" x14ac:dyDescent="0.3">
      <c r="A2473" s="113" t="s">
        <v>76</v>
      </c>
      <c r="B2473" s="113" t="s">
        <v>17</v>
      </c>
    </row>
    <row r="2474" spans="1:2" x14ac:dyDescent="0.3">
      <c r="A2474" s="113" t="s">
        <v>83</v>
      </c>
      <c r="B2474" s="113" t="s">
        <v>17</v>
      </c>
    </row>
    <row r="2475" spans="1:2" x14ac:dyDescent="0.3">
      <c r="A2475" s="113" t="s">
        <v>81</v>
      </c>
      <c r="B2475" s="113" t="s">
        <v>126</v>
      </c>
    </row>
    <row r="2476" spans="1:2" x14ac:dyDescent="0.3">
      <c r="A2476" s="113" t="s">
        <v>3665</v>
      </c>
      <c r="B2476" s="113" t="s">
        <v>121</v>
      </c>
    </row>
    <row r="2477" spans="1:2" x14ac:dyDescent="0.3">
      <c r="A2477" s="113" t="s">
        <v>3665</v>
      </c>
      <c r="B2477" s="113" t="s">
        <v>121</v>
      </c>
    </row>
    <row r="2478" spans="1:2" x14ac:dyDescent="0.3">
      <c r="A2478" s="113" t="s">
        <v>3665</v>
      </c>
      <c r="B2478" s="113" t="s">
        <v>121</v>
      </c>
    </row>
    <row r="2479" spans="1:2" x14ac:dyDescent="0.3">
      <c r="A2479" s="113" t="s">
        <v>3665</v>
      </c>
      <c r="B2479" s="113" t="s">
        <v>121</v>
      </c>
    </row>
    <row r="2480" spans="1:2" x14ac:dyDescent="0.3">
      <c r="A2480" s="113" t="s">
        <v>3665</v>
      </c>
      <c r="B2480" s="113" t="s">
        <v>121</v>
      </c>
    </row>
    <row r="2481" spans="1:2" x14ac:dyDescent="0.3">
      <c r="A2481" s="113" t="s">
        <v>3665</v>
      </c>
      <c r="B2481" s="113" t="s">
        <v>121</v>
      </c>
    </row>
    <row r="2482" spans="1:2" x14ac:dyDescent="0.3">
      <c r="A2482" s="113" t="s">
        <v>3665</v>
      </c>
      <c r="B2482" s="113" t="s">
        <v>121</v>
      </c>
    </row>
    <row r="2483" spans="1:2" x14ac:dyDescent="0.3">
      <c r="A2483" s="113" t="s">
        <v>3665</v>
      </c>
      <c r="B2483" s="113" t="s">
        <v>121</v>
      </c>
    </row>
    <row r="2484" spans="1:2" x14ac:dyDescent="0.3">
      <c r="A2484" s="113" t="s">
        <v>87</v>
      </c>
      <c r="B2484" s="113" t="s">
        <v>17</v>
      </c>
    </row>
    <row r="2485" spans="1:2" x14ac:dyDescent="0.3">
      <c r="A2485" s="113" t="s">
        <v>14</v>
      </c>
      <c r="B2485" s="113" t="s">
        <v>15</v>
      </c>
    </row>
    <row r="2486" spans="1:2" x14ac:dyDescent="0.3">
      <c r="A2486" s="113" t="s">
        <v>46</v>
      </c>
      <c r="B2486" s="113" t="s">
        <v>29</v>
      </c>
    </row>
    <row r="2487" spans="1:2" x14ac:dyDescent="0.3">
      <c r="A2487" s="113" t="s">
        <v>18</v>
      </c>
      <c r="B2487" s="113" t="s">
        <v>115</v>
      </c>
    </row>
    <row r="2488" spans="1:2" x14ac:dyDescent="0.3">
      <c r="A2488" s="113" t="s">
        <v>81</v>
      </c>
      <c r="B2488" s="113" t="s">
        <v>126</v>
      </c>
    </row>
    <row r="2489" spans="1:2" x14ac:dyDescent="0.3">
      <c r="A2489" s="113" t="s">
        <v>3665</v>
      </c>
      <c r="B2489" s="113" t="s">
        <v>121</v>
      </c>
    </row>
    <row r="2490" spans="1:2" x14ac:dyDescent="0.3">
      <c r="A2490" s="113" t="s">
        <v>3665</v>
      </c>
      <c r="B2490" s="113" t="s">
        <v>121</v>
      </c>
    </row>
    <row r="2491" spans="1:2" x14ac:dyDescent="0.3">
      <c r="A2491" s="113" t="s">
        <v>66</v>
      </c>
      <c r="B2491" s="113" t="s">
        <v>17</v>
      </c>
    </row>
    <row r="2492" spans="1:2" x14ac:dyDescent="0.3">
      <c r="A2492" s="113" t="s">
        <v>87</v>
      </c>
      <c r="B2492" s="113" t="s">
        <v>17</v>
      </c>
    </row>
    <row r="2493" spans="1:2" x14ac:dyDescent="0.3">
      <c r="A2493" s="113" t="s">
        <v>39</v>
      </c>
      <c r="B2493" s="113" t="s">
        <v>29</v>
      </c>
    </row>
    <row r="2494" spans="1:2" x14ac:dyDescent="0.3">
      <c r="A2494" s="113" t="s">
        <v>46</v>
      </c>
      <c r="B2494" s="113" t="s">
        <v>29</v>
      </c>
    </row>
    <row r="2495" spans="1:2" x14ac:dyDescent="0.3">
      <c r="A2495" s="113" t="s">
        <v>46</v>
      </c>
      <c r="B2495" s="113" t="s">
        <v>29</v>
      </c>
    </row>
    <row r="2496" spans="1:2" x14ac:dyDescent="0.3">
      <c r="A2496" s="113" t="s">
        <v>46</v>
      </c>
      <c r="B2496" s="113" t="s">
        <v>29</v>
      </c>
    </row>
    <row r="2497" spans="1:2" x14ac:dyDescent="0.3">
      <c r="A2497" s="113" t="s">
        <v>46</v>
      </c>
      <c r="B2497" s="113" t="s">
        <v>29</v>
      </c>
    </row>
    <row r="2498" spans="1:2" x14ac:dyDescent="0.3">
      <c r="A2498" s="113" t="s">
        <v>30</v>
      </c>
      <c r="B2498" s="113" t="s">
        <v>17</v>
      </c>
    </row>
    <row r="2499" spans="1:2" x14ac:dyDescent="0.3">
      <c r="A2499" s="113" t="s">
        <v>73</v>
      </c>
      <c r="B2499" s="113" t="s">
        <v>17</v>
      </c>
    </row>
    <row r="2500" spans="1:2" x14ac:dyDescent="0.3">
      <c r="A2500" s="113" t="s">
        <v>30</v>
      </c>
      <c r="B2500" s="113" t="s">
        <v>17</v>
      </c>
    </row>
    <row r="2501" spans="1:2" x14ac:dyDescent="0.3">
      <c r="A2501" s="113" t="s">
        <v>30</v>
      </c>
      <c r="B2501" s="113" t="s">
        <v>17</v>
      </c>
    </row>
    <row r="2502" spans="1:2" x14ac:dyDescent="0.3">
      <c r="A2502" s="113" t="s">
        <v>87</v>
      </c>
      <c r="B2502" s="113" t="s">
        <v>17</v>
      </c>
    </row>
    <row r="2503" spans="1:2" x14ac:dyDescent="0.3">
      <c r="A2503" s="113" t="s">
        <v>3607</v>
      </c>
      <c r="B2503" s="113" t="s">
        <v>115</v>
      </c>
    </row>
    <row r="2504" spans="1:2" x14ac:dyDescent="0.3">
      <c r="A2504" s="113" t="s">
        <v>83</v>
      </c>
      <c r="B2504" s="113" t="s">
        <v>17</v>
      </c>
    </row>
    <row r="2505" spans="1:2" x14ac:dyDescent="0.3">
      <c r="A2505" s="113" t="s">
        <v>85</v>
      </c>
      <c r="B2505" s="113" t="s">
        <v>17</v>
      </c>
    </row>
    <row r="2506" spans="1:2" x14ac:dyDescent="0.3">
      <c r="A2506" s="113" t="s">
        <v>30</v>
      </c>
      <c r="B2506" s="113" t="s">
        <v>17</v>
      </c>
    </row>
    <row r="2507" spans="1:2" x14ac:dyDescent="0.3">
      <c r="A2507" s="113" t="s">
        <v>66</v>
      </c>
      <c r="B2507" s="113" t="s">
        <v>17</v>
      </c>
    </row>
    <row r="2508" spans="1:2" x14ac:dyDescent="0.3">
      <c r="A2508" s="113" t="s">
        <v>66</v>
      </c>
      <c r="B2508" s="113" t="s">
        <v>17</v>
      </c>
    </row>
    <row r="2509" spans="1:2" x14ac:dyDescent="0.3">
      <c r="A2509" s="113" t="s">
        <v>14</v>
      </c>
      <c r="B2509" s="113" t="s">
        <v>15</v>
      </c>
    </row>
    <row r="2510" spans="1:2" x14ac:dyDescent="0.3">
      <c r="A2510" s="113" t="s">
        <v>77</v>
      </c>
      <c r="B2510" s="113" t="s">
        <v>17</v>
      </c>
    </row>
    <row r="2511" spans="1:2" x14ac:dyDescent="0.3">
      <c r="A2511" s="113" t="s">
        <v>28</v>
      </c>
      <c r="B2511" s="113" t="s">
        <v>115</v>
      </c>
    </row>
    <row r="2512" spans="1:2" x14ac:dyDescent="0.3">
      <c r="A2512" s="113" t="s">
        <v>28</v>
      </c>
      <c r="B2512" s="113" t="s">
        <v>115</v>
      </c>
    </row>
    <row r="2513" spans="1:2" x14ac:dyDescent="0.3">
      <c r="A2513" s="113" t="s">
        <v>32</v>
      </c>
      <c r="B2513" s="113" t="s">
        <v>115</v>
      </c>
    </row>
    <row r="2514" spans="1:2" x14ac:dyDescent="0.3">
      <c r="A2514" s="113" t="s">
        <v>32</v>
      </c>
      <c r="B2514" s="113" t="s">
        <v>115</v>
      </c>
    </row>
    <row r="2515" spans="1:2" x14ac:dyDescent="0.3">
      <c r="A2515" s="113" t="s">
        <v>32</v>
      </c>
      <c r="B2515" s="113" t="s">
        <v>115</v>
      </c>
    </row>
    <row r="2516" spans="1:2" x14ac:dyDescent="0.3">
      <c r="A2516" s="113" t="s">
        <v>32</v>
      </c>
      <c r="B2516" s="113" t="s">
        <v>115</v>
      </c>
    </row>
    <row r="2517" spans="1:2" x14ac:dyDescent="0.3">
      <c r="A2517" s="113" t="s">
        <v>39</v>
      </c>
      <c r="B2517" s="113" t="s">
        <v>29</v>
      </c>
    </row>
    <row r="2518" spans="1:2" x14ac:dyDescent="0.3">
      <c r="A2518" s="113" t="s">
        <v>32</v>
      </c>
      <c r="B2518" s="113" t="s">
        <v>115</v>
      </c>
    </row>
    <row r="2519" spans="1:2" x14ac:dyDescent="0.3">
      <c r="A2519" s="113" t="s">
        <v>32</v>
      </c>
      <c r="B2519" s="113" t="s">
        <v>115</v>
      </c>
    </row>
    <row r="2520" spans="1:2" x14ac:dyDescent="0.3">
      <c r="A2520" s="113" t="s">
        <v>3665</v>
      </c>
      <c r="B2520" s="113" t="s">
        <v>121</v>
      </c>
    </row>
    <row r="2521" spans="1:2" x14ac:dyDescent="0.3">
      <c r="A2521" s="113" t="s">
        <v>3665</v>
      </c>
      <c r="B2521" s="113" t="s">
        <v>121</v>
      </c>
    </row>
    <row r="2522" spans="1:2" x14ac:dyDescent="0.3">
      <c r="A2522" s="113" t="s">
        <v>66</v>
      </c>
      <c r="B2522" s="113" t="s">
        <v>17</v>
      </c>
    </row>
    <row r="2523" spans="1:2" x14ac:dyDescent="0.3">
      <c r="A2523" s="113" t="s">
        <v>66</v>
      </c>
      <c r="B2523" s="113" t="s">
        <v>17</v>
      </c>
    </row>
    <row r="2524" spans="1:2" x14ac:dyDescent="0.3">
      <c r="A2524" s="113" t="s">
        <v>3790</v>
      </c>
      <c r="B2524" s="113" t="s">
        <v>115</v>
      </c>
    </row>
    <row r="2525" spans="1:2" x14ac:dyDescent="0.3">
      <c r="A2525" s="113" t="s">
        <v>46</v>
      </c>
      <c r="B2525" s="113" t="s">
        <v>29</v>
      </c>
    </row>
    <row r="2526" spans="1:2" x14ac:dyDescent="0.3">
      <c r="A2526" s="113" t="s">
        <v>46</v>
      </c>
      <c r="B2526" s="113" t="s">
        <v>29</v>
      </c>
    </row>
    <row r="2527" spans="1:2" x14ac:dyDescent="0.3">
      <c r="A2527" s="113" t="s">
        <v>46</v>
      </c>
      <c r="B2527" s="113" t="s">
        <v>29</v>
      </c>
    </row>
    <row r="2528" spans="1:2" x14ac:dyDescent="0.3">
      <c r="A2528" s="113" t="s">
        <v>46</v>
      </c>
      <c r="B2528" s="113" t="s">
        <v>29</v>
      </c>
    </row>
    <row r="2529" spans="1:2" x14ac:dyDescent="0.3">
      <c r="A2529" s="113" t="s">
        <v>46</v>
      </c>
      <c r="B2529" s="113" t="s">
        <v>29</v>
      </c>
    </row>
    <row r="2530" spans="1:2" x14ac:dyDescent="0.3">
      <c r="A2530" s="113" t="s">
        <v>46</v>
      </c>
      <c r="B2530" s="113" t="s">
        <v>29</v>
      </c>
    </row>
    <row r="2531" spans="1:2" x14ac:dyDescent="0.3">
      <c r="A2531" s="113" t="s">
        <v>46</v>
      </c>
      <c r="B2531" s="113" t="s">
        <v>29</v>
      </c>
    </row>
    <row r="2532" spans="1:2" x14ac:dyDescent="0.3">
      <c r="A2532" s="113" t="s">
        <v>46</v>
      </c>
      <c r="B2532" s="113" t="s">
        <v>29</v>
      </c>
    </row>
    <row r="2533" spans="1:2" x14ac:dyDescent="0.3">
      <c r="A2533" s="113" t="s">
        <v>39</v>
      </c>
      <c r="B2533" s="113" t="s">
        <v>29</v>
      </c>
    </row>
    <row r="2534" spans="1:2" x14ac:dyDescent="0.3">
      <c r="A2534" s="113" t="s">
        <v>3790</v>
      </c>
      <c r="B2534" s="113" t="s">
        <v>115</v>
      </c>
    </row>
    <row r="2535" spans="1:2" x14ac:dyDescent="0.3">
      <c r="A2535" s="113" t="s">
        <v>30</v>
      </c>
      <c r="B2535" s="113" t="s">
        <v>17</v>
      </c>
    </row>
    <row r="2536" spans="1:2" x14ac:dyDescent="0.3">
      <c r="A2536" s="113" t="s">
        <v>3790</v>
      </c>
      <c r="B2536" s="113" t="s">
        <v>115</v>
      </c>
    </row>
    <row r="2537" spans="1:2" x14ac:dyDescent="0.3">
      <c r="A2537" s="113" t="s">
        <v>54</v>
      </c>
      <c r="B2537" s="113" t="s">
        <v>115</v>
      </c>
    </row>
    <row r="2538" spans="1:2" x14ac:dyDescent="0.3">
      <c r="A2538" s="113" t="s">
        <v>30</v>
      </c>
      <c r="B2538" s="113" t="s">
        <v>17</v>
      </c>
    </row>
    <row r="2539" spans="1:2" x14ac:dyDescent="0.3">
      <c r="A2539" s="113" t="s">
        <v>39</v>
      </c>
      <c r="B2539" s="113" t="s">
        <v>29</v>
      </c>
    </row>
    <row r="2540" spans="1:2" x14ac:dyDescent="0.3">
      <c r="A2540" s="113" t="s">
        <v>46</v>
      </c>
      <c r="B2540" s="113" t="s">
        <v>29</v>
      </c>
    </row>
    <row r="2541" spans="1:2" x14ac:dyDescent="0.3">
      <c r="A2541" s="113" t="s">
        <v>46</v>
      </c>
      <c r="B2541" s="113" t="s">
        <v>29</v>
      </c>
    </row>
    <row r="2542" spans="1:2" x14ac:dyDescent="0.3">
      <c r="A2542" s="113" t="s">
        <v>39</v>
      </c>
      <c r="B2542" s="113" t="s">
        <v>29</v>
      </c>
    </row>
    <row r="2543" spans="1:2" x14ac:dyDescent="0.3">
      <c r="A2543" s="113" t="s">
        <v>31</v>
      </c>
      <c r="B2543" s="113" t="s">
        <v>121</v>
      </c>
    </row>
    <row r="2544" spans="1:2" x14ac:dyDescent="0.3">
      <c r="A2544" s="113" t="s">
        <v>66</v>
      </c>
      <c r="B2544" s="113" t="s">
        <v>17</v>
      </c>
    </row>
    <row r="2545" spans="1:2" x14ac:dyDescent="0.3">
      <c r="A2545" s="113" t="s">
        <v>55</v>
      </c>
      <c r="B2545" s="113" t="s">
        <v>115</v>
      </c>
    </row>
    <row r="2546" spans="1:2" x14ac:dyDescent="0.3">
      <c r="A2546" s="113" t="s">
        <v>55</v>
      </c>
      <c r="B2546" s="113" t="s">
        <v>115</v>
      </c>
    </row>
    <row r="2547" spans="1:2" x14ac:dyDescent="0.3">
      <c r="A2547" s="113" t="s">
        <v>104</v>
      </c>
      <c r="B2547" s="113" t="s">
        <v>115</v>
      </c>
    </row>
    <row r="2548" spans="1:2" x14ac:dyDescent="0.3">
      <c r="A2548" s="113" t="s">
        <v>104</v>
      </c>
      <c r="B2548" s="113" t="s">
        <v>115</v>
      </c>
    </row>
    <row r="2549" spans="1:2" x14ac:dyDescent="0.3">
      <c r="A2549" s="113" t="s">
        <v>104</v>
      </c>
      <c r="B2549" s="113" t="s">
        <v>115</v>
      </c>
    </row>
    <row r="2550" spans="1:2" x14ac:dyDescent="0.3">
      <c r="A2550" s="113" t="s">
        <v>4165</v>
      </c>
      <c r="B2550" s="113" t="s">
        <v>115</v>
      </c>
    </row>
    <row r="2551" spans="1:2" x14ac:dyDescent="0.3">
      <c r="A2551" s="113" t="s">
        <v>96</v>
      </c>
      <c r="B2551" s="113" t="s">
        <v>115</v>
      </c>
    </row>
    <row r="2552" spans="1:2" x14ac:dyDescent="0.3">
      <c r="A2552" s="113" t="s">
        <v>44</v>
      </c>
      <c r="B2552" s="113" t="s">
        <v>115</v>
      </c>
    </row>
    <row r="2553" spans="1:2" x14ac:dyDescent="0.3">
      <c r="A2553" s="113" t="s">
        <v>87</v>
      </c>
      <c r="B2553" s="113" t="s">
        <v>17</v>
      </c>
    </row>
    <row r="2554" spans="1:2" x14ac:dyDescent="0.3">
      <c r="A2554" s="113" t="s">
        <v>44</v>
      </c>
      <c r="B2554" s="113" t="s">
        <v>115</v>
      </c>
    </row>
    <row r="2555" spans="1:2" x14ac:dyDescent="0.3">
      <c r="A2555" s="113" t="s">
        <v>46</v>
      </c>
      <c r="B2555" s="113" t="s">
        <v>29</v>
      </c>
    </row>
    <row r="2556" spans="1:2" x14ac:dyDescent="0.3">
      <c r="A2556" s="113" t="s">
        <v>46</v>
      </c>
      <c r="B2556" s="113" t="s">
        <v>29</v>
      </c>
    </row>
    <row r="2557" spans="1:2" x14ac:dyDescent="0.3">
      <c r="A2557" s="113" t="s">
        <v>50</v>
      </c>
      <c r="B2557" s="113" t="s">
        <v>25</v>
      </c>
    </row>
    <row r="2558" spans="1:2" x14ac:dyDescent="0.3">
      <c r="A2558" s="113" t="s">
        <v>50</v>
      </c>
      <c r="B2558" s="113" t="s">
        <v>25</v>
      </c>
    </row>
    <row r="2559" spans="1:2" x14ac:dyDescent="0.3">
      <c r="A2559" s="113" t="s">
        <v>44</v>
      </c>
      <c r="B2559" s="113" t="s">
        <v>115</v>
      </c>
    </row>
    <row r="2560" spans="1:2" x14ac:dyDescent="0.3">
      <c r="A2560" s="113" t="s">
        <v>85</v>
      </c>
      <c r="B2560" s="113" t="s">
        <v>17</v>
      </c>
    </row>
    <row r="2561" spans="1:2" x14ac:dyDescent="0.3">
      <c r="A2561" s="113" t="s">
        <v>44</v>
      </c>
      <c r="B2561" s="113" t="s">
        <v>115</v>
      </c>
    </row>
    <row r="2562" spans="1:2" x14ac:dyDescent="0.3">
      <c r="A2562" s="113" t="s">
        <v>44</v>
      </c>
      <c r="B2562" s="113" t="s">
        <v>115</v>
      </c>
    </row>
    <row r="2563" spans="1:2" x14ac:dyDescent="0.3">
      <c r="A2563" s="113" t="s">
        <v>44</v>
      </c>
      <c r="B2563" s="113" t="s">
        <v>115</v>
      </c>
    </row>
    <row r="2564" spans="1:2" x14ac:dyDescent="0.3">
      <c r="A2564" s="113" t="s">
        <v>39</v>
      </c>
      <c r="B2564" s="113" t="s">
        <v>29</v>
      </c>
    </row>
    <row r="2565" spans="1:2" x14ac:dyDescent="0.3">
      <c r="A2565" s="113" t="s">
        <v>39</v>
      </c>
      <c r="B2565" s="113" t="s">
        <v>29</v>
      </c>
    </row>
    <row r="2566" spans="1:2" x14ac:dyDescent="0.3">
      <c r="A2566" s="113" t="s">
        <v>87</v>
      </c>
      <c r="B2566" s="113" t="s">
        <v>17</v>
      </c>
    </row>
    <row r="2567" spans="1:2" x14ac:dyDescent="0.3">
      <c r="A2567" s="113" t="s">
        <v>14</v>
      </c>
      <c r="B2567" s="113" t="s">
        <v>15</v>
      </c>
    </row>
    <row r="2568" spans="1:2" x14ac:dyDescent="0.3">
      <c r="A2568" s="113" t="s">
        <v>46</v>
      </c>
      <c r="B2568" s="113" t="s">
        <v>29</v>
      </c>
    </row>
    <row r="2569" spans="1:2" x14ac:dyDescent="0.3">
      <c r="A2569" s="113" t="s">
        <v>46</v>
      </c>
      <c r="B2569" s="113" t="s">
        <v>29</v>
      </c>
    </row>
    <row r="2570" spans="1:2" x14ac:dyDescent="0.3">
      <c r="A2570" s="113" t="s">
        <v>50</v>
      </c>
      <c r="B2570" s="113" t="s">
        <v>25</v>
      </c>
    </row>
    <row r="2571" spans="1:2" x14ac:dyDescent="0.3">
      <c r="A2571" s="113" t="s">
        <v>48</v>
      </c>
      <c r="B2571" s="113" t="s">
        <v>17</v>
      </c>
    </row>
    <row r="2572" spans="1:2" x14ac:dyDescent="0.3">
      <c r="A2572" s="113" t="s">
        <v>85</v>
      </c>
      <c r="B2572" s="113" t="s">
        <v>17</v>
      </c>
    </row>
    <row r="2573" spans="1:2" x14ac:dyDescent="0.3">
      <c r="A2573" s="113" t="s">
        <v>30</v>
      </c>
      <c r="B2573" s="113" t="s">
        <v>17</v>
      </c>
    </row>
    <row r="2574" spans="1:2" x14ac:dyDescent="0.3">
      <c r="A2574" s="113" t="s">
        <v>3559</v>
      </c>
      <c r="B2574" s="113" t="s">
        <v>17</v>
      </c>
    </row>
    <row r="2575" spans="1:2" x14ac:dyDescent="0.3">
      <c r="A2575" s="113" t="s">
        <v>3559</v>
      </c>
      <c r="B2575" s="113" t="s">
        <v>17</v>
      </c>
    </row>
    <row r="2576" spans="1:2" x14ac:dyDescent="0.3">
      <c r="A2576" s="113" t="s">
        <v>30</v>
      </c>
      <c r="B2576" s="113" t="s">
        <v>17</v>
      </c>
    </row>
    <row r="2577" spans="1:2" x14ac:dyDescent="0.3">
      <c r="A2577" s="113" t="s">
        <v>84</v>
      </c>
      <c r="B2577" s="113" t="s">
        <v>17</v>
      </c>
    </row>
    <row r="2578" spans="1:2" x14ac:dyDescent="0.3">
      <c r="A2578" s="113" t="s">
        <v>57</v>
      </c>
      <c r="B2578" s="113" t="s">
        <v>17</v>
      </c>
    </row>
    <row r="2579" spans="1:2" x14ac:dyDescent="0.3">
      <c r="A2579" s="113" t="s">
        <v>70</v>
      </c>
      <c r="B2579" s="113" t="s">
        <v>34</v>
      </c>
    </row>
    <row r="2580" spans="1:2" x14ac:dyDescent="0.3">
      <c r="A2580" s="113" t="s">
        <v>87</v>
      </c>
      <c r="B2580" s="113" t="s">
        <v>17</v>
      </c>
    </row>
    <row r="2581" spans="1:2" x14ac:dyDescent="0.3">
      <c r="A2581" s="113" t="s">
        <v>87</v>
      </c>
      <c r="B2581" s="113" t="s">
        <v>17</v>
      </c>
    </row>
    <row r="2582" spans="1:2" x14ac:dyDescent="0.3">
      <c r="A2582" s="113" t="s">
        <v>39</v>
      </c>
      <c r="B2582" s="113" t="s">
        <v>29</v>
      </c>
    </row>
    <row r="2583" spans="1:2" x14ac:dyDescent="0.3">
      <c r="A2583" s="113" t="s">
        <v>46</v>
      </c>
      <c r="B2583" s="113" t="s">
        <v>29</v>
      </c>
    </row>
    <row r="2584" spans="1:2" x14ac:dyDescent="0.3">
      <c r="A2584" s="113" t="s">
        <v>21</v>
      </c>
      <c r="B2584" s="113" t="s">
        <v>17</v>
      </c>
    </row>
    <row r="2585" spans="1:2" x14ac:dyDescent="0.3">
      <c r="A2585" s="113" t="s">
        <v>44</v>
      </c>
      <c r="B2585" s="113" t="s">
        <v>115</v>
      </c>
    </row>
    <row r="2586" spans="1:2" x14ac:dyDescent="0.3">
      <c r="A2586" s="113" t="s">
        <v>85</v>
      </c>
      <c r="B2586" s="113" t="s">
        <v>17</v>
      </c>
    </row>
    <row r="2587" spans="1:2" x14ac:dyDescent="0.3">
      <c r="A2587" s="113" t="s">
        <v>31</v>
      </c>
      <c r="B2587" s="113" t="s">
        <v>121</v>
      </c>
    </row>
    <row r="2588" spans="1:2" x14ac:dyDescent="0.3">
      <c r="A2588" s="113" t="s">
        <v>87</v>
      </c>
      <c r="B2588" s="113" t="s">
        <v>17</v>
      </c>
    </row>
    <row r="2589" spans="1:2" x14ac:dyDescent="0.3">
      <c r="A2589" s="113" t="s">
        <v>44</v>
      </c>
      <c r="B2589" s="113" t="s">
        <v>115</v>
      </c>
    </row>
    <row r="2590" spans="1:2" x14ac:dyDescent="0.3">
      <c r="A2590" s="113" t="s">
        <v>89</v>
      </c>
      <c r="B2590" s="113" t="s">
        <v>17</v>
      </c>
    </row>
    <row r="2591" spans="1:2" x14ac:dyDescent="0.3">
      <c r="A2591" s="113" t="s">
        <v>39</v>
      </c>
      <c r="B2591" s="113" t="s">
        <v>29</v>
      </c>
    </row>
    <row r="2592" spans="1:2" x14ac:dyDescent="0.3">
      <c r="A2592" s="113" t="s">
        <v>46</v>
      </c>
      <c r="B2592" s="113" t="s">
        <v>29</v>
      </c>
    </row>
    <row r="2593" spans="1:2" x14ac:dyDescent="0.3">
      <c r="A2593" s="113" t="s">
        <v>46</v>
      </c>
      <c r="B2593" s="113" t="s">
        <v>29</v>
      </c>
    </row>
    <row r="2594" spans="1:2" x14ac:dyDescent="0.3">
      <c r="A2594" s="113" t="s">
        <v>46</v>
      </c>
      <c r="B2594" s="113" t="s">
        <v>29</v>
      </c>
    </row>
    <row r="2595" spans="1:2" x14ac:dyDescent="0.3">
      <c r="A2595" s="113" t="s">
        <v>46</v>
      </c>
      <c r="B2595" s="113" t="s">
        <v>29</v>
      </c>
    </row>
    <row r="2596" spans="1:2" x14ac:dyDescent="0.3">
      <c r="A2596" s="113" t="s">
        <v>46</v>
      </c>
      <c r="B2596" s="113" t="s">
        <v>29</v>
      </c>
    </row>
    <row r="2597" spans="1:2" x14ac:dyDescent="0.3">
      <c r="A2597" s="113" t="s">
        <v>39</v>
      </c>
      <c r="B2597" s="113" t="s">
        <v>29</v>
      </c>
    </row>
    <row r="2598" spans="1:2" x14ac:dyDescent="0.3">
      <c r="A2598" s="113" t="s">
        <v>46</v>
      </c>
      <c r="B2598" s="113" t="s">
        <v>29</v>
      </c>
    </row>
    <row r="2599" spans="1:2" x14ac:dyDescent="0.3">
      <c r="A2599" s="113" t="s">
        <v>30</v>
      </c>
      <c r="B2599" s="113" t="s">
        <v>17</v>
      </c>
    </row>
    <row r="2600" spans="1:2" x14ac:dyDescent="0.3">
      <c r="A2600" s="113" t="s">
        <v>83</v>
      </c>
      <c r="B2600" s="113" t="s">
        <v>17</v>
      </c>
    </row>
    <row r="2601" spans="1:2" x14ac:dyDescent="0.3">
      <c r="A2601" s="113" t="s">
        <v>46</v>
      </c>
      <c r="B2601" s="113" t="s">
        <v>29</v>
      </c>
    </row>
    <row r="2602" spans="1:2" x14ac:dyDescent="0.3">
      <c r="A2602" s="113" t="s">
        <v>30</v>
      </c>
      <c r="B2602" s="113" t="s">
        <v>17</v>
      </c>
    </row>
    <row r="2603" spans="1:2" x14ac:dyDescent="0.3">
      <c r="A2603" s="113" t="s">
        <v>26</v>
      </c>
      <c r="B2603" s="113" t="s">
        <v>127</v>
      </c>
    </row>
    <row r="2604" spans="1:2" x14ac:dyDescent="0.3">
      <c r="A2604" s="113" t="s">
        <v>87</v>
      </c>
      <c r="B2604" s="113" t="s">
        <v>17</v>
      </c>
    </row>
    <row r="2605" spans="1:2" x14ac:dyDescent="0.3">
      <c r="A2605" s="113" t="s">
        <v>44</v>
      </c>
      <c r="B2605" s="113" t="s">
        <v>115</v>
      </c>
    </row>
    <row r="2606" spans="1:2" x14ac:dyDescent="0.3">
      <c r="A2606" s="113" t="s">
        <v>30</v>
      </c>
      <c r="B2606" s="113" t="s">
        <v>17</v>
      </c>
    </row>
    <row r="2607" spans="1:2" x14ac:dyDescent="0.3">
      <c r="A2607" s="113" t="s">
        <v>73</v>
      </c>
      <c r="B2607" s="113" t="s">
        <v>17</v>
      </c>
    </row>
    <row r="2608" spans="1:2" x14ac:dyDescent="0.3">
      <c r="A2608" s="113" t="s">
        <v>44</v>
      </c>
      <c r="B2608" s="113" t="s">
        <v>115</v>
      </c>
    </row>
    <row r="2609" spans="1:2" x14ac:dyDescent="0.3">
      <c r="A2609" s="113" t="s">
        <v>30</v>
      </c>
      <c r="B2609" s="113" t="s">
        <v>17</v>
      </c>
    </row>
    <row r="2610" spans="1:2" x14ac:dyDescent="0.3">
      <c r="A2610" s="113" t="s">
        <v>4241</v>
      </c>
      <c r="B2610" s="113" t="s">
        <v>121</v>
      </c>
    </row>
    <row r="2611" spans="1:2" x14ac:dyDescent="0.3">
      <c r="A2611" s="113" t="s">
        <v>44</v>
      </c>
      <c r="B2611" s="113" t="s">
        <v>115</v>
      </c>
    </row>
    <row r="2612" spans="1:2" x14ac:dyDescent="0.3">
      <c r="A2612" s="113" t="s">
        <v>30</v>
      </c>
      <c r="B2612" s="113" t="s">
        <v>17</v>
      </c>
    </row>
    <row r="2613" spans="1:2" x14ac:dyDescent="0.3">
      <c r="A2613" s="113" t="s">
        <v>46</v>
      </c>
      <c r="B2613" s="113" t="s">
        <v>29</v>
      </c>
    </row>
    <row r="2614" spans="1:2" x14ac:dyDescent="0.3">
      <c r="A2614" s="113" t="s">
        <v>39</v>
      </c>
      <c r="B2614" s="113" t="s">
        <v>29</v>
      </c>
    </row>
    <row r="2615" spans="1:2" x14ac:dyDescent="0.3">
      <c r="A2615" s="113" t="s">
        <v>4241</v>
      </c>
      <c r="B2615" s="113" t="s">
        <v>121</v>
      </c>
    </row>
    <row r="2616" spans="1:2" x14ac:dyDescent="0.3">
      <c r="A2616" s="113" t="s">
        <v>46</v>
      </c>
      <c r="B2616" s="113" t="s">
        <v>29</v>
      </c>
    </row>
    <row r="2617" spans="1:2" x14ac:dyDescent="0.3">
      <c r="A2617" s="113" t="s">
        <v>79</v>
      </c>
      <c r="B2617" s="113" t="s">
        <v>115</v>
      </c>
    </row>
    <row r="2618" spans="1:2" x14ac:dyDescent="0.3">
      <c r="A2618" s="113" t="s">
        <v>46</v>
      </c>
      <c r="B2618" s="113" t="s">
        <v>29</v>
      </c>
    </row>
    <row r="2619" spans="1:2" x14ac:dyDescent="0.3">
      <c r="A2619" s="113" t="s">
        <v>46</v>
      </c>
      <c r="B2619" s="113" t="s">
        <v>29</v>
      </c>
    </row>
    <row r="2620" spans="1:2" x14ac:dyDescent="0.3">
      <c r="A2620" s="113" t="s">
        <v>39</v>
      </c>
      <c r="B2620" s="113" t="s">
        <v>29</v>
      </c>
    </row>
    <row r="2621" spans="1:2" x14ac:dyDescent="0.3">
      <c r="A2621" s="113" t="s">
        <v>44</v>
      </c>
      <c r="B2621" s="113" t="s">
        <v>115</v>
      </c>
    </row>
    <row r="2622" spans="1:2" x14ac:dyDescent="0.3">
      <c r="A2622" s="113" t="s">
        <v>31</v>
      </c>
      <c r="B2622" s="113" t="s">
        <v>121</v>
      </c>
    </row>
    <row r="2623" spans="1:2" x14ac:dyDescent="0.3">
      <c r="A2623" s="113" t="s">
        <v>31</v>
      </c>
      <c r="B2623" s="113" t="s">
        <v>121</v>
      </c>
    </row>
    <row r="2624" spans="1:2" x14ac:dyDescent="0.3">
      <c r="A2624" s="113" t="s">
        <v>44</v>
      </c>
      <c r="B2624" s="113" t="s">
        <v>115</v>
      </c>
    </row>
    <row r="2625" spans="1:2" x14ac:dyDescent="0.3">
      <c r="A2625" s="113" t="s">
        <v>44</v>
      </c>
      <c r="B2625" s="113" t="s">
        <v>115</v>
      </c>
    </row>
    <row r="2626" spans="1:2" x14ac:dyDescent="0.3">
      <c r="A2626" s="113" t="s">
        <v>44</v>
      </c>
      <c r="B2626" s="113" t="s">
        <v>115</v>
      </c>
    </row>
    <row r="2627" spans="1:2" x14ac:dyDescent="0.3">
      <c r="A2627" s="113" t="s">
        <v>44</v>
      </c>
      <c r="B2627" s="113" t="s">
        <v>115</v>
      </c>
    </row>
    <row r="2628" spans="1:2" x14ac:dyDescent="0.3">
      <c r="A2628" s="113" t="s">
        <v>41</v>
      </c>
      <c r="B2628" s="113" t="s">
        <v>17</v>
      </c>
    </row>
    <row r="2629" spans="1:2" x14ac:dyDescent="0.3">
      <c r="A2629" s="113" t="s">
        <v>44</v>
      </c>
      <c r="B2629" s="113" t="s">
        <v>115</v>
      </c>
    </row>
    <row r="2630" spans="1:2" x14ac:dyDescent="0.3">
      <c r="A2630" s="113" t="s">
        <v>57</v>
      </c>
      <c r="B2630" s="113" t="s">
        <v>17</v>
      </c>
    </row>
    <row r="2631" spans="1:2" x14ac:dyDescent="0.3">
      <c r="A2631" s="113" t="s">
        <v>44</v>
      </c>
      <c r="B2631" s="113" t="s">
        <v>115</v>
      </c>
    </row>
    <row r="2632" spans="1:2" x14ac:dyDescent="0.3">
      <c r="A2632" s="113" t="s">
        <v>4283</v>
      </c>
      <c r="B2632" s="113" t="s">
        <v>17</v>
      </c>
    </row>
    <row r="2633" spans="1:2" x14ac:dyDescent="0.3">
      <c r="A2633" s="113" t="s">
        <v>18</v>
      </c>
      <c r="B2633" s="113" t="s">
        <v>115</v>
      </c>
    </row>
    <row r="2634" spans="1:2" x14ac:dyDescent="0.3">
      <c r="A2634" s="113" t="s">
        <v>18</v>
      </c>
      <c r="B2634" s="113" t="s">
        <v>115</v>
      </c>
    </row>
    <row r="2635" spans="1:2" x14ac:dyDescent="0.3">
      <c r="A2635" s="113" t="s">
        <v>39</v>
      </c>
      <c r="B2635" s="113" t="s">
        <v>29</v>
      </c>
    </row>
    <row r="2636" spans="1:2" x14ac:dyDescent="0.3">
      <c r="A2636" s="113" t="s">
        <v>46</v>
      </c>
      <c r="B2636" s="113" t="s">
        <v>29</v>
      </c>
    </row>
    <row r="2637" spans="1:2" x14ac:dyDescent="0.3">
      <c r="A2637" s="113" t="s">
        <v>46</v>
      </c>
      <c r="B2637" s="113" t="s">
        <v>29</v>
      </c>
    </row>
    <row r="2638" spans="1:2" x14ac:dyDescent="0.3">
      <c r="A2638" s="113" t="s">
        <v>66</v>
      </c>
      <c r="B2638" s="113" t="s">
        <v>17</v>
      </c>
    </row>
    <row r="2639" spans="1:2" x14ac:dyDescent="0.3">
      <c r="A2639" s="113" t="s">
        <v>30</v>
      </c>
      <c r="B2639" s="113" t="s">
        <v>17</v>
      </c>
    </row>
    <row r="2640" spans="1:2" x14ac:dyDescent="0.3">
      <c r="A2640" s="113" t="s">
        <v>87</v>
      </c>
      <c r="B2640" s="113" t="s">
        <v>17</v>
      </c>
    </row>
    <row r="2641" spans="1:2" x14ac:dyDescent="0.3">
      <c r="A2641" s="113" t="s">
        <v>87</v>
      </c>
      <c r="B2641" s="113" t="s">
        <v>17</v>
      </c>
    </row>
    <row r="2642" spans="1:2" x14ac:dyDescent="0.3">
      <c r="A2642" s="113" t="s">
        <v>56</v>
      </c>
      <c r="B2642" s="113" t="s">
        <v>17</v>
      </c>
    </row>
    <row r="2643" spans="1:2" x14ac:dyDescent="0.3">
      <c r="A2643" s="113" t="s">
        <v>30</v>
      </c>
      <c r="B2643" s="113" t="s">
        <v>17</v>
      </c>
    </row>
    <row r="2644" spans="1:2" x14ac:dyDescent="0.3">
      <c r="A2644" s="113" t="s">
        <v>18</v>
      </c>
      <c r="B2644" s="113" t="s">
        <v>115</v>
      </c>
    </row>
    <row r="2645" spans="1:2" x14ac:dyDescent="0.3">
      <c r="A2645" s="113" t="s">
        <v>46</v>
      </c>
      <c r="B2645" s="113" t="s">
        <v>29</v>
      </c>
    </row>
    <row r="2646" spans="1:2" x14ac:dyDescent="0.3">
      <c r="A2646" s="113" t="s">
        <v>44</v>
      </c>
      <c r="B2646" s="113" t="s">
        <v>115</v>
      </c>
    </row>
    <row r="2647" spans="1:2" x14ac:dyDescent="0.3">
      <c r="A2647" s="113" t="s">
        <v>18</v>
      </c>
      <c r="B2647" s="113" t="s">
        <v>115</v>
      </c>
    </row>
    <row r="2648" spans="1:2" x14ac:dyDescent="0.3">
      <c r="A2648" s="113" t="s">
        <v>81</v>
      </c>
      <c r="B2648" s="113" t="s">
        <v>126</v>
      </c>
    </row>
    <row r="2649" spans="1:2" x14ac:dyDescent="0.3">
      <c r="A2649" s="113" t="s">
        <v>81</v>
      </c>
      <c r="B2649" s="113" t="s">
        <v>126</v>
      </c>
    </row>
    <row r="2650" spans="1:2" x14ac:dyDescent="0.3">
      <c r="A2650" s="113" t="s">
        <v>4241</v>
      </c>
      <c r="B2650" s="113" t="s">
        <v>121</v>
      </c>
    </row>
    <row r="2651" spans="1:2" x14ac:dyDescent="0.3">
      <c r="A2651" s="113" t="s">
        <v>5373</v>
      </c>
      <c r="B2651" s="113" t="s">
        <v>121</v>
      </c>
    </row>
    <row r="2652" spans="1:2" x14ac:dyDescent="0.3">
      <c r="A2652" s="113" t="s">
        <v>28</v>
      </c>
      <c r="B2652" s="113" t="s">
        <v>115</v>
      </c>
    </row>
    <row r="2653" spans="1:2" x14ac:dyDescent="0.3">
      <c r="A2653" s="113" t="s">
        <v>77</v>
      </c>
      <c r="B2653" s="113" t="s">
        <v>17</v>
      </c>
    </row>
    <row r="2654" spans="1:2" x14ac:dyDescent="0.3">
      <c r="A2654" s="113" t="s">
        <v>87</v>
      </c>
      <c r="B2654" s="113" t="s">
        <v>17</v>
      </c>
    </row>
    <row r="2655" spans="1:2" x14ac:dyDescent="0.3">
      <c r="A2655" s="113" t="s">
        <v>104</v>
      </c>
      <c r="B2655" s="113" t="s">
        <v>115</v>
      </c>
    </row>
    <row r="2656" spans="1:2" x14ac:dyDescent="0.3">
      <c r="A2656" s="113" t="s">
        <v>104</v>
      </c>
      <c r="B2656" s="113" t="s">
        <v>115</v>
      </c>
    </row>
    <row r="2657" spans="1:2" x14ac:dyDescent="0.3">
      <c r="A2657" s="113" t="s">
        <v>39</v>
      </c>
      <c r="B2657" s="113" t="s">
        <v>29</v>
      </c>
    </row>
    <row r="2658" spans="1:2" x14ac:dyDescent="0.3">
      <c r="A2658" s="113" t="s">
        <v>66</v>
      </c>
      <c r="B2658" s="113" t="s">
        <v>17</v>
      </c>
    </row>
    <row r="2659" spans="1:2" x14ac:dyDescent="0.3">
      <c r="A2659" s="113" t="s">
        <v>87</v>
      </c>
      <c r="B2659" s="113" t="s">
        <v>17</v>
      </c>
    </row>
    <row r="2660" spans="1:2" x14ac:dyDescent="0.3">
      <c r="A2660" s="113" t="s">
        <v>30</v>
      </c>
      <c r="B2660" s="113" t="s">
        <v>17</v>
      </c>
    </row>
    <row r="2661" spans="1:2" x14ac:dyDescent="0.3">
      <c r="A2661" s="113" t="s">
        <v>3665</v>
      </c>
      <c r="B2661" s="113" t="s">
        <v>121</v>
      </c>
    </row>
    <row r="2662" spans="1:2" x14ac:dyDescent="0.3">
      <c r="A2662" s="113" t="s">
        <v>3665</v>
      </c>
      <c r="B2662" s="113" t="s">
        <v>121</v>
      </c>
    </row>
    <row r="2663" spans="1:2" x14ac:dyDescent="0.3">
      <c r="A2663" s="113" t="s">
        <v>3665</v>
      </c>
      <c r="B2663" s="113" t="s">
        <v>121</v>
      </c>
    </row>
    <row r="2664" spans="1:2" x14ac:dyDescent="0.3">
      <c r="A2664" s="113" t="s">
        <v>3665</v>
      </c>
      <c r="B2664" s="113" t="s">
        <v>121</v>
      </c>
    </row>
    <row r="2665" spans="1:2" x14ac:dyDescent="0.3">
      <c r="A2665" s="113" t="s">
        <v>46</v>
      </c>
      <c r="B2665" s="113" t="s">
        <v>29</v>
      </c>
    </row>
    <row r="2666" spans="1:2" x14ac:dyDescent="0.3">
      <c r="A2666" s="113" t="s">
        <v>46</v>
      </c>
      <c r="B2666" s="113" t="s">
        <v>29</v>
      </c>
    </row>
    <row r="2667" spans="1:2" x14ac:dyDescent="0.3">
      <c r="A2667" s="113" t="s">
        <v>46</v>
      </c>
      <c r="B2667" s="113" t="s">
        <v>29</v>
      </c>
    </row>
    <row r="2668" spans="1:2" x14ac:dyDescent="0.3">
      <c r="A2668" s="113" t="s">
        <v>30</v>
      </c>
      <c r="B2668" s="113" t="s">
        <v>17</v>
      </c>
    </row>
    <row r="2669" spans="1:2" x14ac:dyDescent="0.3">
      <c r="A2669" s="113" t="s">
        <v>54</v>
      </c>
      <c r="B2669" s="113" t="s">
        <v>115</v>
      </c>
    </row>
    <row r="2670" spans="1:2" x14ac:dyDescent="0.3">
      <c r="A2670" s="113" t="s">
        <v>79</v>
      </c>
      <c r="B2670" s="113" t="s">
        <v>115</v>
      </c>
    </row>
    <row r="2671" spans="1:2" x14ac:dyDescent="0.3">
      <c r="A2671" s="113" t="s">
        <v>50</v>
      </c>
      <c r="B2671" s="113" t="s">
        <v>25</v>
      </c>
    </row>
    <row r="2672" spans="1:2" x14ac:dyDescent="0.3">
      <c r="A2672" s="113" t="s">
        <v>28</v>
      </c>
      <c r="B2672" s="113" t="s">
        <v>115</v>
      </c>
    </row>
    <row r="2673" spans="1:2" x14ac:dyDescent="0.3">
      <c r="A2673" s="113" t="s">
        <v>68</v>
      </c>
      <c r="B2673" s="113" t="s">
        <v>17</v>
      </c>
    </row>
    <row r="2674" spans="1:2" x14ac:dyDescent="0.3">
      <c r="A2674" s="113" t="s">
        <v>4241</v>
      </c>
      <c r="B2674" s="113" t="s">
        <v>121</v>
      </c>
    </row>
    <row r="2675" spans="1:2" x14ac:dyDescent="0.3">
      <c r="A2675" s="113" t="s">
        <v>30</v>
      </c>
      <c r="B2675" s="113" t="s">
        <v>17</v>
      </c>
    </row>
    <row r="2676" spans="1:2" x14ac:dyDescent="0.3">
      <c r="A2676" s="113" t="s">
        <v>39</v>
      </c>
      <c r="B2676" s="113" t="s">
        <v>29</v>
      </c>
    </row>
    <row r="2677" spans="1:2" x14ac:dyDescent="0.3">
      <c r="A2677" s="113" t="s">
        <v>18</v>
      </c>
      <c r="B2677" s="113" t="s">
        <v>115</v>
      </c>
    </row>
    <row r="2678" spans="1:2" x14ac:dyDescent="0.3">
      <c r="A2678" s="113" t="s">
        <v>18</v>
      </c>
      <c r="B2678" s="113" t="s">
        <v>115</v>
      </c>
    </row>
    <row r="2679" spans="1:2" x14ac:dyDescent="0.3">
      <c r="A2679" s="113" t="s">
        <v>46</v>
      </c>
      <c r="B2679" s="113" t="s">
        <v>29</v>
      </c>
    </row>
    <row r="2680" spans="1:2" x14ac:dyDescent="0.3">
      <c r="A2680" s="113" t="s">
        <v>46</v>
      </c>
      <c r="B2680" s="113" t="s">
        <v>29</v>
      </c>
    </row>
    <row r="2681" spans="1:2" x14ac:dyDescent="0.3">
      <c r="A2681" s="113" t="s">
        <v>30</v>
      </c>
      <c r="B2681" s="113" t="s">
        <v>17</v>
      </c>
    </row>
    <row r="2682" spans="1:2" x14ac:dyDescent="0.3">
      <c r="A2682" s="113" t="s">
        <v>18</v>
      </c>
      <c r="B2682" s="113" t="s">
        <v>115</v>
      </c>
    </row>
    <row r="2683" spans="1:2" x14ac:dyDescent="0.3">
      <c r="A2683" s="113" t="s">
        <v>18</v>
      </c>
      <c r="B2683" s="113" t="s">
        <v>115</v>
      </c>
    </row>
    <row r="2684" spans="1:2" x14ac:dyDescent="0.3">
      <c r="A2684" s="113" t="s">
        <v>18</v>
      </c>
      <c r="B2684" s="113" t="s">
        <v>115</v>
      </c>
    </row>
    <row r="2685" spans="1:2" x14ac:dyDescent="0.3">
      <c r="A2685" s="113" t="s">
        <v>30</v>
      </c>
      <c r="B2685" s="113" t="s">
        <v>17</v>
      </c>
    </row>
    <row r="2686" spans="1:2" x14ac:dyDescent="0.3">
      <c r="A2686" s="113" t="s">
        <v>39</v>
      </c>
      <c r="B2686" s="113" t="s">
        <v>29</v>
      </c>
    </row>
    <row r="2687" spans="1:2" x14ac:dyDescent="0.3">
      <c r="A2687" s="113" t="s">
        <v>3665</v>
      </c>
      <c r="B2687" s="113" t="s">
        <v>121</v>
      </c>
    </row>
    <row r="2688" spans="1:2" x14ac:dyDescent="0.3">
      <c r="A2688" s="113" t="s">
        <v>3665</v>
      </c>
      <c r="B2688" s="113" t="s">
        <v>121</v>
      </c>
    </row>
    <row r="2689" spans="1:2" x14ac:dyDescent="0.3">
      <c r="A2689" s="113" t="s">
        <v>87</v>
      </c>
      <c r="B2689" s="113" t="s">
        <v>17</v>
      </c>
    </row>
    <row r="2690" spans="1:2" x14ac:dyDescent="0.3">
      <c r="A2690" s="113" t="s">
        <v>46</v>
      </c>
      <c r="B2690" s="113" t="s">
        <v>29</v>
      </c>
    </row>
    <row r="2691" spans="1:2" x14ac:dyDescent="0.3">
      <c r="A2691" s="113" t="s">
        <v>46</v>
      </c>
      <c r="B2691" s="113" t="s">
        <v>29</v>
      </c>
    </row>
    <row r="2692" spans="1:2" x14ac:dyDescent="0.3">
      <c r="A2692" s="113" t="s">
        <v>18</v>
      </c>
      <c r="B2692" s="113" t="s">
        <v>115</v>
      </c>
    </row>
    <row r="2693" spans="1:2" x14ac:dyDescent="0.3">
      <c r="A2693" s="113" t="s">
        <v>79</v>
      </c>
      <c r="B2693" s="113" t="s">
        <v>115</v>
      </c>
    </row>
    <row r="2694" spans="1:2" x14ac:dyDescent="0.3">
      <c r="A2694" s="113" t="s">
        <v>68</v>
      </c>
      <c r="B2694" s="113" t="s">
        <v>17</v>
      </c>
    </row>
    <row r="2695" spans="1:2" x14ac:dyDescent="0.3">
      <c r="A2695" s="113" t="s">
        <v>30</v>
      </c>
      <c r="B2695" s="113" t="s">
        <v>17</v>
      </c>
    </row>
    <row r="2696" spans="1:2" x14ac:dyDescent="0.3">
      <c r="A2696" s="113" t="s">
        <v>30</v>
      </c>
      <c r="B2696" s="113" t="s">
        <v>17</v>
      </c>
    </row>
    <row r="2697" spans="1:2" x14ac:dyDescent="0.3">
      <c r="A2697" s="113" t="s">
        <v>30</v>
      </c>
      <c r="B2697" s="113" t="s">
        <v>17</v>
      </c>
    </row>
    <row r="2698" spans="1:2" x14ac:dyDescent="0.3">
      <c r="A2698" s="113" t="s">
        <v>18</v>
      </c>
      <c r="B2698" s="113" t="s">
        <v>115</v>
      </c>
    </row>
    <row r="2699" spans="1:2" x14ac:dyDescent="0.3">
      <c r="A2699" s="113" t="s">
        <v>18</v>
      </c>
      <c r="B2699" s="113" t="s">
        <v>115</v>
      </c>
    </row>
    <row r="2700" spans="1:2" x14ac:dyDescent="0.3">
      <c r="A2700" s="113" t="s">
        <v>18</v>
      </c>
      <c r="B2700" s="113" t="s">
        <v>115</v>
      </c>
    </row>
    <row r="2701" spans="1:2" x14ac:dyDescent="0.3">
      <c r="A2701" s="113" t="s">
        <v>72</v>
      </c>
      <c r="B2701" s="113" t="s">
        <v>17</v>
      </c>
    </row>
    <row r="2702" spans="1:2" x14ac:dyDescent="0.3">
      <c r="A2702" s="113" t="s">
        <v>30</v>
      </c>
      <c r="B2702" s="113" t="s">
        <v>17</v>
      </c>
    </row>
    <row r="2703" spans="1:2" x14ac:dyDescent="0.3">
      <c r="A2703" s="113" t="s">
        <v>66</v>
      </c>
      <c r="B2703" s="113" t="s">
        <v>17</v>
      </c>
    </row>
    <row r="2704" spans="1:2" x14ac:dyDescent="0.3">
      <c r="A2704" s="113" t="s">
        <v>18</v>
      </c>
      <c r="B2704" s="113" t="s">
        <v>115</v>
      </c>
    </row>
    <row r="2705" spans="1:2" x14ac:dyDescent="0.3">
      <c r="A2705" s="113" t="s">
        <v>73</v>
      </c>
      <c r="B2705" s="113" t="s">
        <v>17</v>
      </c>
    </row>
    <row r="2706" spans="1:2" x14ac:dyDescent="0.3">
      <c r="A2706" s="113" t="s">
        <v>18</v>
      </c>
      <c r="B2706" s="113" t="s">
        <v>115</v>
      </c>
    </row>
    <row r="2707" spans="1:2" x14ac:dyDescent="0.3">
      <c r="A2707" s="113" t="s">
        <v>83</v>
      </c>
      <c r="B2707" s="113" t="s">
        <v>17</v>
      </c>
    </row>
    <row r="2708" spans="1:2" x14ac:dyDescent="0.3">
      <c r="A2708" s="113" t="s">
        <v>82</v>
      </c>
      <c r="B2708" s="113" t="s">
        <v>17</v>
      </c>
    </row>
    <row r="2709" spans="1:2" x14ac:dyDescent="0.3">
      <c r="A2709" s="113" t="s">
        <v>43</v>
      </c>
      <c r="B2709" s="113" t="s">
        <v>29</v>
      </c>
    </row>
    <row r="2710" spans="1:2" x14ac:dyDescent="0.3">
      <c r="A2710" s="113" t="s">
        <v>18</v>
      </c>
      <c r="B2710" s="113" t="s">
        <v>115</v>
      </c>
    </row>
    <row r="2711" spans="1:2" x14ac:dyDescent="0.3">
      <c r="A2711" s="113" t="s">
        <v>18</v>
      </c>
      <c r="B2711" s="113" t="s">
        <v>115</v>
      </c>
    </row>
    <row r="2712" spans="1:2" x14ac:dyDescent="0.3">
      <c r="A2712" s="113" t="s">
        <v>18</v>
      </c>
      <c r="B2712" s="113" t="s">
        <v>115</v>
      </c>
    </row>
    <row r="2713" spans="1:2" x14ac:dyDescent="0.3">
      <c r="A2713" s="113" t="s">
        <v>30</v>
      </c>
      <c r="B2713" s="113" t="s">
        <v>17</v>
      </c>
    </row>
    <row r="2714" spans="1:2" x14ac:dyDescent="0.3">
      <c r="A2714" s="113" t="s">
        <v>18</v>
      </c>
      <c r="B2714" s="113" t="s">
        <v>115</v>
      </c>
    </row>
    <row r="2715" spans="1:2" x14ac:dyDescent="0.3">
      <c r="A2715" s="113" t="s">
        <v>18</v>
      </c>
      <c r="B2715" s="113" t="s">
        <v>115</v>
      </c>
    </row>
    <row r="2716" spans="1:2" x14ac:dyDescent="0.3">
      <c r="A2716" s="113" t="s">
        <v>18</v>
      </c>
      <c r="B2716" s="113" t="s">
        <v>115</v>
      </c>
    </row>
    <row r="2717" spans="1:2" x14ac:dyDescent="0.3">
      <c r="A2717" s="113" t="s">
        <v>18</v>
      </c>
      <c r="B2717" s="113" t="s">
        <v>115</v>
      </c>
    </row>
    <row r="2718" spans="1:2" x14ac:dyDescent="0.3">
      <c r="A2718" s="113" t="s">
        <v>30</v>
      </c>
      <c r="B2718" s="113" t="s">
        <v>17</v>
      </c>
    </row>
    <row r="2719" spans="1:2" x14ac:dyDescent="0.3">
      <c r="A2719" s="113" t="s">
        <v>82</v>
      </c>
      <c r="B2719" s="113" t="s">
        <v>17</v>
      </c>
    </row>
    <row r="2720" spans="1:2" x14ac:dyDescent="0.3">
      <c r="A2720" s="113" t="s">
        <v>73</v>
      </c>
      <c r="B2720" s="113" t="s">
        <v>17</v>
      </c>
    </row>
    <row r="2721" spans="1:2" x14ac:dyDescent="0.3">
      <c r="A2721" s="113" t="s">
        <v>3559</v>
      </c>
      <c r="B2721" s="113" t="s">
        <v>17</v>
      </c>
    </row>
    <row r="2722" spans="1:2" x14ac:dyDescent="0.3">
      <c r="A2722" s="113" t="s">
        <v>18</v>
      </c>
      <c r="B2722" s="113" t="s">
        <v>115</v>
      </c>
    </row>
    <row r="2723" spans="1:2" x14ac:dyDescent="0.3">
      <c r="A2723" s="113" t="s">
        <v>73</v>
      </c>
      <c r="B2723" s="113" t="s">
        <v>17</v>
      </c>
    </row>
    <row r="2724" spans="1:2" x14ac:dyDescent="0.3">
      <c r="A2724" s="113" t="s">
        <v>46</v>
      </c>
      <c r="B2724" s="113" t="s">
        <v>29</v>
      </c>
    </row>
    <row r="2725" spans="1:2" x14ac:dyDescent="0.3">
      <c r="A2725" s="113" t="s">
        <v>83</v>
      </c>
      <c r="B2725" s="113" t="s">
        <v>17</v>
      </c>
    </row>
    <row r="2726" spans="1:2" x14ac:dyDescent="0.3">
      <c r="A2726" s="113" t="s">
        <v>76</v>
      </c>
      <c r="B2726" s="113" t="s">
        <v>17</v>
      </c>
    </row>
    <row r="2727" spans="1:2" x14ac:dyDescent="0.3">
      <c r="A2727" s="113" t="s">
        <v>43</v>
      </c>
      <c r="B2727" s="113" t="s">
        <v>29</v>
      </c>
    </row>
    <row r="2728" spans="1:2" x14ac:dyDescent="0.3">
      <c r="A2728" s="113" t="s">
        <v>39</v>
      </c>
      <c r="B2728" s="113" t="s">
        <v>29</v>
      </c>
    </row>
    <row r="2729" spans="1:2" x14ac:dyDescent="0.3">
      <c r="A2729" s="113" t="s">
        <v>30</v>
      </c>
      <c r="B2729" s="113" t="s">
        <v>17</v>
      </c>
    </row>
    <row r="2730" spans="1:2" x14ac:dyDescent="0.3">
      <c r="A2730" s="113" t="s">
        <v>46</v>
      </c>
      <c r="B2730" s="113" t="s">
        <v>29</v>
      </c>
    </row>
    <row r="2731" spans="1:2" x14ac:dyDescent="0.3">
      <c r="A2731" s="113" t="s">
        <v>46</v>
      </c>
      <c r="B2731" s="113" t="s">
        <v>29</v>
      </c>
    </row>
    <row r="2732" spans="1:2" x14ac:dyDescent="0.3">
      <c r="A2732" s="113" t="s">
        <v>87</v>
      </c>
      <c r="B2732" s="113" t="s">
        <v>17</v>
      </c>
    </row>
    <row r="2733" spans="1:2" x14ac:dyDescent="0.3">
      <c r="A2733" s="113" t="s">
        <v>18</v>
      </c>
      <c r="B2733" s="113" t="s">
        <v>115</v>
      </c>
    </row>
    <row r="2734" spans="1:2" x14ac:dyDescent="0.3">
      <c r="A2734" s="113" t="s">
        <v>18</v>
      </c>
      <c r="B2734" s="113" t="s">
        <v>115</v>
      </c>
    </row>
    <row r="2735" spans="1:2" x14ac:dyDescent="0.3">
      <c r="A2735" s="113" t="s">
        <v>39</v>
      </c>
      <c r="B2735" s="113" t="s">
        <v>29</v>
      </c>
    </row>
    <row r="2736" spans="1:2" x14ac:dyDescent="0.3">
      <c r="A2736" s="113" t="s">
        <v>87</v>
      </c>
      <c r="B2736" s="113" t="s">
        <v>17</v>
      </c>
    </row>
    <row r="2737" spans="1:2" x14ac:dyDescent="0.3">
      <c r="A2737" s="113" t="s">
        <v>87</v>
      </c>
      <c r="B2737" s="113" t="s">
        <v>17</v>
      </c>
    </row>
    <row r="2738" spans="1:2" x14ac:dyDescent="0.3">
      <c r="A2738" s="113" t="s">
        <v>46</v>
      </c>
      <c r="B2738" s="113" t="s">
        <v>29</v>
      </c>
    </row>
    <row r="2739" spans="1:2" x14ac:dyDescent="0.3">
      <c r="A2739" s="113" t="s">
        <v>46</v>
      </c>
      <c r="B2739" s="113" t="s">
        <v>29</v>
      </c>
    </row>
    <row r="2740" spans="1:2" x14ac:dyDescent="0.3">
      <c r="A2740" s="113" t="s">
        <v>46</v>
      </c>
      <c r="B2740" s="113" t="s">
        <v>29</v>
      </c>
    </row>
    <row r="2741" spans="1:2" x14ac:dyDescent="0.3">
      <c r="A2741" s="113" t="s">
        <v>18</v>
      </c>
      <c r="B2741" s="113" t="s">
        <v>115</v>
      </c>
    </row>
    <row r="2742" spans="1:2" x14ac:dyDescent="0.3">
      <c r="A2742" s="113" t="s">
        <v>3665</v>
      </c>
      <c r="B2742" s="113" t="s">
        <v>121</v>
      </c>
    </row>
    <row r="2743" spans="1:2" x14ac:dyDescent="0.3">
      <c r="A2743" s="113" t="s">
        <v>3665</v>
      </c>
      <c r="B2743" s="113" t="s">
        <v>121</v>
      </c>
    </row>
    <row r="2744" spans="1:2" x14ac:dyDescent="0.3">
      <c r="A2744" s="113" t="s">
        <v>3665</v>
      </c>
      <c r="B2744" s="113" t="s">
        <v>121</v>
      </c>
    </row>
    <row r="2745" spans="1:2" x14ac:dyDescent="0.3">
      <c r="A2745" s="113" t="s">
        <v>3665</v>
      </c>
      <c r="B2745" s="113" t="s">
        <v>121</v>
      </c>
    </row>
    <row r="2746" spans="1:2" x14ac:dyDescent="0.3">
      <c r="A2746" s="113" t="s">
        <v>3665</v>
      </c>
      <c r="B2746" s="113" t="s">
        <v>121</v>
      </c>
    </row>
    <row r="2747" spans="1:2" x14ac:dyDescent="0.3">
      <c r="A2747" s="113" t="s">
        <v>80</v>
      </c>
      <c r="B2747" s="113" t="s">
        <v>17</v>
      </c>
    </row>
    <row r="2748" spans="1:2" x14ac:dyDescent="0.3">
      <c r="A2748" s="113" t="s">
        <v>46</v>
      </c>
      <c r="B2748" s="113" t="s">
        <v>29</v>
      </c>
    </row>
    <row r="2749" spans="1:2" x14ac:dyDescent="0.3">
      <c r="A2749" s="113" t="s">
        <v>46</v>
      </c>
      <c r="B2749" s="113" t="s">
        <v>29</v>
      </c>
    </row>
    <row r="2750" spans="1:2" x14ac:dyDescent="0.3">
      <c r="A2750" s="113" t="s">
        <v>3559</v>
      </c>
      <c r="B2750" s="113" t="s">
        <v>17</v>
      </c>
    </row>
    <row r="2751" spans="1:2" x14ac:dyDescent="0.3">
      <c r="A2751" s="113" t="s">
        <v>103</v>
      </c>
      <c r="B2751" s="113" t="s">
        <v>17</v>
      </c>
    </row>
    <row r="2752" spans="1:2" x14ac:dyDescent="0.3">
      <c r="A2752" s="113" t="s">
        <v>39</v>
      </c>
      <c r="B2752" s="113" t="s">
        <v>29</v>
      </c>
    </row>
    <row r="2753" spans="1:2" x14ac:dyDescent="0.3">
      <c r="A2753" s="113" t="s">
        <v>82</v>
      </c>
      <c r="B2753" s="113" t="s">
        <v>17</v>
      </c>
    </row>
    <row r="2754" spans="1:2" x14ac:dyDescent="0.3">
      <c r="A2754" s="113" t="s">
        <v>46</v>
      </c>
      <c r="B2754" s="113" t="s">
        <v>29</v>
      </c>
    </row>
    <row r="2755" spans="1:2" x14ac:dyDescent="0.3">
      <c r="A2755" s="113" t="s">
        <v>18</v>
      </c>
      <c r="B2755" s="113" t="s">
        <v>115</v>
      </c>
    </row>
    <row r="2756" spans="1:2" x14ac:dyDescent="0.3">
      <c r="A2756" s="113" t="s">
        <v>32</v>
      </c>
      <c r="B2756" s="113" t="s">
        <v>115</v>
      </c>
    </row>
    <row r="2757" spans="1:2" x14ac:dyDescent="0.3">
      <c r="A2757" s="113" t="s">
        <v>32</v>
      </c>
      <c r="B2757" s="113" t="s">
        <v>115</v>
      </c>
    </row>
    <row r="2758" spans="1:2" x14ac:dyDescent="0.3">
      <c r="A2758" s="113" t="s">
        <v>18</v>
      </c>
      <c r="B2758" s="113" t="s">
        <v>115</v>
      </c>
    </row>
    <row r="2759" spans="1:2" x14ac:dyDescent="0.3">
      <c r="A2759" s="113" t="s">
        <v>87</v>
      </c>
      <c r="B2759" s="113" t="s">
        <v>17</v>
      </c>
    </row>
    <row r="2760" spans="1:2" x14ac:dyDescent="0.3">
      <c r="A2760" s="113" t="s">
        <v>46</v>
      </c>
      <c r="B2760" s="113" t="s">
        <v>29</v>
      </c>
    </row>
    <row r="2761" spans="1:2" x14ac:dyDescent="0.3">
      <c r="A2761" s="113" t="s">
        <v>46</v>
      </c>
      <c r="B2761" s="113" t="s">
        <v>29</v>
      </c>
    </row>
    <row r="2762" spans="1:2" x14ac:dyDescent="0.3">
      <c r="A2762" s="113" t="s">
        <v>46</v>
      </c>
      <c r="B2762" s="113" t="s">
        <v>29</v>
      </c>
    </row>
    <row r="2763" spans="1:2" x14ac:dyDescent="0.3">
      <c r="A2763" s="113" t="s">
        <v>50</v>
      </c>
      <c r="B2763" s="113" t="s">
        <v>25</v>
      </c>
    </row>
    <row r="2764" spans="1:2" x14ac:dyDescent="0.3">
      <c r="A2764" s="113" t="s">
        <v>18</v>
      </c>
      <c r="B2764" s="113" t="s">
        <v>115</v>
      </c>
    </row>
    <row r="2765" spans="1:2" x14ac:dyDescent="0.3">
      <c r="A2765" s="113" t="s">
        <v>3559</v>
      </c>
      <c r="B2765" s="113" t="s">
        <v>17</v>
      </c>
    </row>
    <row r="2766" spans="1:2" x14ac:dyDescent="0.3">
      <c r="A2766" s="113" t="s">
        <v>30</v>
      </c>
      <c r="B2766" s="113" t="s">
        <v>17</v>
      </c>
    </row>
    <row r="2767" spans="1:2" x14ac:dyDescent="0.3">
      <c r="A2767" s="113" t="s">
        <v>18</v>
      </c>
      <c r="B2767" s="113" t="s">
        <v>115</v>
      </c>
    </row>
    <row r="2768" spans="1:2" x14ac:dyDescent="0.3">
      <c r="A2768" s="113" t="s">
        <v>86</v>
      </c>
      <c r="B2768" s="113" t="s">
        <v>17</v>
      </c>
    </row>
    <row r="2769" spans="1:2" x14ac:dyDescent="0.3">
      <c r="A2769" s="113" t="s">
        <v>85</v>
      </c>
      <c r="B2769" s="113" t="s">
        <v>17</v>
      </c>
    </row>
    <row r="2770" spans="1:2" x14ac:dyDescent="0.3">
      <c r="A2770" s="113" t="s">
        <v>56</v>
      </c>
      <c r="B2770" s="113" t="s">
        <v>17</v>
      </c>
    </row>
    <row r="2771" spans="1:2" x14ac:dyDescent="0.3">
      <c r="A2771" s="113" t="s">
        <v>50</v>
      </c>
      <c r="B2771" s="113" t="s">
        <v>25</v>
      </c>
    </row>
    <row r="2772" spans="1:2" x14ac:dyDescent="0.3">
      <c r="A2772" s="113" t="s">
        <v>42</v>
      </c>
      <c r="B2772" s="113" t="s">
        <v>121</v>
      </c>
    </row>
    <row r="2773" spans="1:2" x14ac:dyDescent="0.3">
      <c r="A2773" s="113" t="s">
        <v>39</v>
      </c>
      <c r="B2773" s="113" t="s">
        <v>29</v>
      </c>
    </row>
    <row r="2774" spans="1:2" x14ac:dyDescent="0.3">
      <c r="A2774" s="113" t="s">
        <v>35</v>
      </c>
      <c r="B2774" s="113" t="s">
        <v>17</v>
      </c>
    </row>
    <row r="2775" spans="1:2" x14ac:dyDescent="0.3">
      <c r="A2775" s="113" t="s">
        <v>87</v>
      </c>
      <c r="B2775" s="113" t="s">
        <v>17</v>
      </c>
    </row>
    <row r="2776" spans="1:2" x14ac:dyDescent="0.3">
      <c r="A2776" s="113" t="s">
        <v>46</v>
      </c>
      <c r="B2776" s="113" t="s">
        <v>29</v>
      </c>
    </row>
    <row r="2777" spans="1:2" x14ac:dyDescent="0.3">
      <c r="A2777" s="113" t="s">
        <v>46</v>
      </c>
      <c r="B2777" s="113" t="s">
        <v>29</v>
      </c>
    </row>
    <row r="2778" spans="1:2" x14ac:dyDescent="0.3">
      <c r="A2778" s="113" t="s">
        <v>50</v>
      </c>
      <c r="B2778" s="113" t="s">
        <v>25</v>
      </c>
    </row>
    <row r="2779" spans="1:2" x14ac:dyDescent="0.3">
      <c r="A2779" s="113" t="s">
        <v>70</v>
      </c>
      <c r="B2779" s="113" t="s">
        <v>34</v>
      </c>
    </row>
    <row r="2780" spans="1:2" x14ac:dyDescent="0.3">
      <c r="A2780" s="113" t="s">
        <v>54</v>
      </c>
      <c r="B2780" s="113" t="s">
        <v>115</v>
      </c>
    </row>
    <row r="2781" spans="1:2" x14ac:dyDescent="0.3">
      <c r="A2781" s="113" t="s">
        <v>54</v>
      </c>
      <c r="B2781" s="113" t="s">
        <v>115</v>
      </c>
    </row>
    <row r="2782" spans="1:2" x14ac:dyDescent="0.3">
      <c r="A2782" s="113" t="s">
        <v>55</v>
      </c>
      <c r="B2782" s="113" t="s">
        <v>115</v>
      </c>
    </row>
    <row r="2783" spans="1:2" x14ac:dyDescent="0.3">
      <c r="A2783" s="113" t="s">
        <v>56</v>
      </c>
      <c r="B2783" s="113" t="s">
        <v>17</v>
      </c>
    </row>
    <row r="2784" spans="1:2" x14ac:dyDescent="0.3">
      <c r="A2784" s="113" t="s">
        <v>87</v>
      </c>
      <c r="B2784" s="113" t="s">
        <v>17</v>
      </c>
    </row>
    <row r="2785" spans="1:2" x14ac:dyDescent="0.3">
      <c r="A2785" s="113" t="s">
        <v>36</v>
      </c>
      <c r="B2785" s="113" t="s">
        <v>17</v>
      </c>
    </row>
    <row r="2786" spans="1:2" x14ac:dyDescent="0.3">
      <c r="A2786" s="113" t="s">
        <v>18</v>
      </c>
      <c r="B2786" s="113" t="s">
        <v>115</v>
      </c>
    </row>
    <row r="2787" spans="1:2" x14ac:dyDescent="0.3">
      <c r="A2787" s="113" t="s">
        <v>36</v>
      </c>
      <c r="B2787" s="113" t="s">
        <v>17</v>
      </c>
    </row>
    <row r="2788" spans="1:2" x14ac:dyDescent="0.3">
      <c r="A2788" s="113" t="s">
        <v>68</v>
      </c>
      <c r="B2788" s="113" t="s">
        <v>17</v>
      </c>
    </row>
    <row r="2789" spans="1:2" x14ac:dyDescent="0.3">
      <c r="A2789" s="113" t="s">
        <v>38</v>
      </c>
      <c r="B2789" s="113" t="s">
        <v>29</v>
      </c>
    </row>
    <row r="2790" spans="1:2" x14ac:dyDescent="0.3">
      <c r="A2790" s="113" t="s">
        <v>46</v>
      </c>
      <c r="B2790" s="113" t="s">
        <v>29</v>
      </c>
    </row>
    <row r="2791" spans="1:2" x14ac:dyDescent="0.3">
      <c r="A2791" s="113" t="s">
        <v>46</v>
      </c>
      <c r="B2791" s="113" t="s">
        <v>29</v>
      </c>
    </row>
    <row r="2792" spans="1:2" x14ac:dyDescent="0.3">
      <c r="A2792" s="113" t="s">
        <v>46</v>
      </c>
      <c r="B2792" s="113" t="s">
        <v>29</v>
      </c>
    </row>
    <row r="2793" spans="1:2" x14ac:dyDescent="0.3">
      <c r="A2793" s="113" t="s">
        <v>46</v>
      </c>
      <c r="B2793" s="113" t="s">
        <v>29</v>
      </c>
    </row>
    <row r="2794" spans="1:2" x14ac:dyDescent="0.3">
      <c r="A2794" s="113" t="s">
        <v>48</v>
      </c>
      <c r="B2794" s="113" t="s">
        <v>17</v>
      </c>
    </row>
    <row r="2795" spans="1:2" x14ac:dyDescent="0.3">
      <c r="A2795" s="113" t="s">
        <v>57</v>
      </c>
      <c r="B2795" s="113" t="s">
        <v>17</v>
      </c>
    </row>
    <row r="2796" spans="1:2" x14ac:dyDescent="0.3">
      <c r="A2796" s="113" t="s">
        <v>39</v>
      </c>
      <c r="B2796" s="113" t="s">
        <v>29</v>
      </c>
    </row>
    <row r="2797" spans="1:2" x14ac:dyDescent="0.3">
      <c r="A2797" s="113" t="s">
        <v>46</v>
      </c>
      <c r="B2797" s="113" t="s">
        <v>29</v>
      </c>
    </row>
    <row r="2798" spans="1:2" x14ac:dyDescent="0.3">
      <c r="A2798" s="113" t="s">
        <v>87</v>
      </c>
      <c r="B2798" s="113" t="s">
        <v>17</v>
      </c>
    </row>
    <row r="2799" spans="1:2" x14ac:dyDescent="0.3">
      <c r="A2799" s="113" t="s">
        <v>81</v>
      </c>
      <c r="B2799" s="113" t="s">
        <v>126</v>
      </c>
    </row>
    <row r="2800" spans="1:2" x14ac:dyDescent="0.3">
      <c r="A2800" s="113" t="s">
        <v>18</v>
      </c>
      <c r="B2800" s="113" t="s">
        <v>115</v>
      </c>
    </row>
    <row r="2801" spans="1:2" x14ac:dyDescent="0.3">
      <c r="A2801" s="113" t="s">
        <v>14</v>
      </c>
      <c r="B2801" s="113" t="s">
        <v>15</v>
      </c>
    </row>
    <row r="2802" spans="1:2" x14ac:dyDescent="0.3">
      <c r="A2802" s="113" t="s">
        <v>73</v>
      </c>
      <c r="B2802" s="113" t="s">
        <v>17</v>
      </c>
    </row>
    <row r="2803" spans="1:2" x14ac:dyDescent="0.3">
      <c r="A2803" s="113" t="s">
        <v>39</v>
      </c>
      <c r="B2803" s="113" t="s">
        <v>29</v>
      </c>
    </row>
    <row r="2804" spans="1:2" x14ac:dyDescent="0.3">
      <c r="A2804" s="113" t="s">
        <v>46</v>
      </c>
      <c r="B2804" s="113" t="s">
        <v>29</v>
      </c>
    </row>
    <row r="2805" spans="1:2" x14ac:dyDescent="0.3">
      <c r="A2805" s="113" t="s">
        <v>46</v>
      </c>
      <c r="B2805" s="113" t="s">
        <v>29</v>
      </c>
    </row>
    <row r="2806" spans="1:2" x14ac:dyDescent="0.3">
      <c r="A2806" s="113" t="s">
        <v>4539</v>
      </c>
      <c r="B2806" s="113" t="s">
        <v>121</v>
      </c>
    </row>
    <row r="2807" spans="1:2" x14ac:dyDescent="0.3">
      <c r="A2807" s="113" t="s">
        <v>14</v>
      </c>
      <c r="B2807" s="113" t="s">
        <v>15</v>
      </c>
    </row>
    <row r="2808" spans="1:2" x14ac:dyDescent="0.3">
      <c r="A2808" s="113" t="s">
        <v>18</v>
      </c>
      <c r="B2808" s="113" t="s">
        <v>115</v>
      </c>
    </row>
    <row r="2809" spans="1:2" x14ac:dyDescent="0.3">
      <c r="A2809" s="113" t="s">
        <v>86</v>
      </c>
      <c r="B2809" s="113" t="s">
        <v>17</v>
      </c>
    </row>
    <row r="2810" spans="1:2" x14ac:dyDescent="0.3">
      <c r="A2810" s="113" t="s">
        <v>46</v>
      </c>
      <c r="B2810" s="113" t="s">
        <v>29</v>
      </c>
    </row>
    <row r="2811" spans="1:2" x14ac:dyDescent="0.3">
      <c r="A2811" s="113" t="s">
        <v>46</v>
      </c>
      <c r="B2811" s="113" t="s">
        <v>29</v>
      </c>
    </row>
    <row r="2812" spans="1:2" x14ac:dyDescent="0.3">
      <c r="A2812" s="113" t="s">
        <v>83</v>
      </c>
      <c r="B2812" s="113" t="s">
        <v>17</v>
      </c>
    </row>
    <row r="2813" spans="1:2" x14ac:dyDescent="0.3">
      <c r="A2813" s="113" t="s">
        <v>97</v>
      </c>
      <c r="B2813" s="113" t="s">
        <v>115</v>
      </c>
    </row>
    <row r="2814" spans="1:2" x14ac:dyDescent="0.3">
      <c r="A2814" s="113" t="s">
        <v>58</v>
      </c>
      <c r="B2814" s="113" t="s">
        <v>17</v>
      </c>
    </row>
    <row r="2815" spans="1:2" x14ac:dyDescent="0.3">
      <c r="A2815" s="113" t="s">
        <v>83</v>
      </c>
      <c r="B2815" s="113" t="s">
        <v>17</v>
      </c>
    </row>
    <row r="2816" spans="1:2" x14ac:dyDescent="0.3">
      <c r="A2816" s="113" t="s">
        <v>39</v>
      </c>
      <c r="B2816" s="113" t="s">
        <v>29</v>
      </c>
    </row>
    <row r="2817" spans="1:2" x14ac:dyDescent="0.3">
      <c r="A2817" s="113" t="s">
        <v>104</v>
      </c>
      <c r="B2817" s="113" t="s">
        <v>115</v>
      </c>
    </row>
    <row r="2818" spans="1:2" x14ac:dyDescent="0.3">
      <c r="A2818" s="113" t="s">
        <v>104</v>
      </c>
      <c r="B2818" s="113" t="s">
        <v>115</v>
      </c>
    </row>
    <row r="2819" spans="1:2" x14ac:dyDescent="0.3">
      <c r="A2819" s="113" t="s">
        <v>77</v>
      </c>
      <c r="B2819" s="113" t="s">
        <v>17</v>
      </c>
    </row>
    <row r="2820" spans="1:2" x14ac:dyDescent="0.3">
      <c r="A2820" s="113" t="s">
        <v>46</v>
      </c>
      <c r="B2820" s="113" t="s">
        <v>29</v>
      </c>
    </row>
    <row r="2821" spans="1:2" x14ac:dyDescent="0.3">
      <c r="A2821" s="113" t="s">
        <v>46</v>
      </c>
      <c r="B2821" s="113" t="s">
        <v>29</v>
      </c>
    </row>
    <row r="2822" spans="1:2" x14ac:dyDescent="0.3">
      <c r="A2822" s="113" t="s">
        <v>3559</v>
      </c>
      <c r="B2822" s="113" t="s">
        <v>17</v>
      </c>
    </row>
    <row r="2823" spans="1:2" x14ac:dyDescent="0.3">
      <c r="A2823" s="113" t="s">
        <v>3665</v>
      </c>
      <c r="B2823" s="113" t="s">
        <v>121</v>
      </c>
    </row>
    <row r="2824" spans="1:2" x14ac:dyDescent="0.3">
      <c r="A2824" s="113" t="s">
        <v>3665</v>
      </c>
      <c r="B2824" s="113" t="s">
        <v>121</v>
      </c>
    </row>
    <row r="2825" spans="1:2" x14ac:dyDescent="0.3">
      <c r="A2825" s="113" t="s">
        <v>3665</v>
      </c>
      <c r="B2825" s="113" t="s">
        <v>121</v>
      </c>
    </row>
    <row r="2826" spans="1:2" x14ac:dyDescent="0.3">
      <c r="A2826" s="113" t="s">
        <v>58</v>
      </c>
      <c r="B2826" s="113" t="s">
        <v>17</v>
      </c>
    </row>
    <row r="2827" spans="1:2" x14ac:dyDescent="0.3">
      <c r="A2827" s="113" t="s">
        <v>18</v>
      </c>
      <c r="B2827" s="113" t="s">
        <v>115</v>
      </c>
    </row>
    <row r="2828" spans="1:2" x14ac:dyDescent="0.3">
      <c r="A2828" s="113" t="s">
        <v>30</v>
      </c>
      <c r="B2828" s="113" t="s">
        <v>17</v>
      </c>
    </row>
    <row r="2829" spans="1:2" x14ac:dyDescent="0.3">
      <c r="A2829" s="113" t="s">
        <v>18</v>
      </c>
      <c r="B2829" s="113" t="s">
        <v>115</v>
      </c>
    </row>
    <row r="2830" spans="1:2" x14ac:dyDescent="0.3">
      <c r="A2830" s="113" t="s">
        <v>46</v>
      </c>
      <c r="B2830" s="113" t="s">
        <v>29</v>
      </c>
    </row>
    <row r="2831" spans="1:2" x14ac:dyDescent="0.3">
      <c r="A2831" s="113" t="s">
        <v>87</v>
      </c>
      <c r="B2831" s="113" t="s">
        <v>17</v>
      </c>
    </row>
    <row r="2832" spans="1:2" x14ac:dyDescent="0.3">
      <c r="A2832" s="113" t="s">
        <v>3665</v>
      </c>
      <c r="B2832" s="113" t="s">
        <v>121</v>
      </c>
    </row>
    <row r="2833" spans="1:2" x14ac:dyDescent="0.3">
      <c r="A2833" s="113" t="s">
        <v>18</v>
      </c>
      <c r="B2833" s="113" t="s">
        <v>115</v>
      </c>
    </row>
    <row r="2834" spans="1:2" x14ac:dyDescent="0.3">
      <c r="A2834" s="113" t="s">
        <v>28</v>
      </c>
      <c r="B2834" s="113" t="s">
        <v>115</v>
      </c>
    </row>
    <row r="2835" spans="1:2" x14ac:dyDescent="0.3">
      <c r="A2835" s="113" t="s">
        <v>46</v>
      </c>
      <c r="B2835" s="113" t="s">
        <v>29</v>
      </c>
    </row>
    <row r="2836" spans="1:2" x14ac:dyDescent="0.3">
      <c r="A2836" s="113" t="s">
        <v>39</v>
      </c>
      <c r="B2836" s="113" t="s">
        <v>29</v>
      </c>
    </row>
    <row r="2837" spans="1:2" x14ac:dyDescent="0.3">
      <c r="A2837" s="113" t="s">
        <v>46</v>
      </c>
      <c r="B2837" s="113" t="s">
        <v>29</v>
      </c>
    </row>
    <row r="2838" spans="1:2" x14ac:dyDescent="0.3">
      <c r="A2838" s="113" t="s">
        <v>39</v>
      </c>
      <c r="B2838" s="113" t="s">
        <v>29</v>
      </c>
    </row>
    <row r="2839" spans="1:2" x14ac:dyDescent="0.3">
      <c r="A2839" s="113" t="s">
        <v>46</v>
      </c>
      <c r="B2839" s="113" t="s">
        <v>29</v>
      </c>
    </row>
    <row r="2840" spans="1:2" x14ac:dyDescent="0.3">
      <c r="A2840" s="113" t="s">
        <v>46</v>
      </c>
      <c r="B2840" s="113" t="s">
        <v>29</v>
      </c>
    </row>
    <row r="2841" spans="1:2" x14ac:dyDescent="0.3">
      <c r="A2841" s="113" t="s">
        <v>46</v>
      </c>
      <c r="B2841" s="113" t="s">
        <v>29</v>
      </c>
    </row>
    <row r="2842" spans="1:2" x14ac:dyDescent="0.3">
      <c r="A2842" s="113" t="s">
        <v>66</v>
      </c>
      <c r="B2842" s="113" t="s">
        <v>17</v>
      </c>
    </row>
    <row r="2843" spans="1:2" x14ac:dyDescent="0.3">
      <c r="A2843" s="113" t="s">
        <v>3559</v>
      </c>
      <c r="B2843" s="113" t="s">
        <v>17</v>
      </c>
    </row>
    <row r="2844" spans="1:2" x14ac:dyDescent="0.3">
      <c r="A2844" s="113" t="s">
        <v>30</v>
      </c>
      <c r="B2844" s="113" t="s">
        <v>17</v>
      </c>
    </row>
    <row r="2845" spans="1:2" x14ac:dyDescent="0.3">
      <c r="A2845" s="113" t="s">
        <v>77</v>
      </c>
      <c r="B2845" s="113" t="s">
        <v>17</v>
      </c>
    </row>
    <row r="2846" spans="1:2" x14ac:dyDescent="0.3">
      <c r="A2846" s="113" t="s">
        <v>18</v>
      </c>
      <c r="B2846" s="113" t="s">
        <v>115</v>
      </c>
    </row>
    <row r="2847" spans="1:2" x14ac:dyDescent="0.3">
      <c r="A2847" s="113" t="s">
        <v>14</v>
      </c>
      <c r="B2847" s="113" t="s">
        <v>15</v>
      </c>
    </row>
    <row r="2848" spans="1:2" x14ac:dyDescent="0.3">
      <c r="A2848" s="113" t="s">
        <v>81</v>
      </c>
      <c r="B2848" s="113" t="s">
        <v>126</v>
      </c>
    </row>
    <row r="2849" spans="1:2" x14ac:dyDescent="0.3">
      <c r="A2849" s="113" t="s">
        <v>3665</v>
      </c>
      <c r="B2849" s="113" t="s">
        <v>121</v>
      </c>
    </row>
    <row r="2850" spans="1:2" x14ac:dyDescent="0.3">
      <c r="A2850" s="113" t="s">
        <v>3665</v>
      </c>
      <c r="B2850" s="113" t="s">
        <v>121</v>
      </c>
    </row>
    <row r="2851" spans="1:2" x14ac:dyDescent="0.3">
      <c r="A2851" s="113" t="s">
        <v>3665</v>
      </c>
      <c r="B2851" s="113" t="s">
        <v>121</v>
      </c>
    </row>
    <row r="2852" spans="1:2" x14ac:dyDescent="0.3">
      <c r="A2852" s="113" t="s">
        <v>39</v>
      </c>
      <c r="B2852" s="113" t="s">
        <v>29</v>
      </c>
    </row>
    <row r="2853" spans="1:2" x14ac:dyDescent="0.3">
      <c r="A2853" s="113" t="s">
        <v>46</v>
      </c>
      <c r="B2853" s="113" t="s">
        <v>29</v>
      </c>
    </row>
    <row r="2854" spans="1:2" x14ac:dyDescent="0.3">
      <c r="A2854" s="113" t="s">
        <v>46</v>
      </c>
      <c r="B2854" s="113" t="s">
        <v>29</v>
      </c>
    </row>
    <row r="2855" spans="1:2" x14ac:dyDescent="0.3">
      <c r="A2855" s="113" t="s">
        <v>18</v>
      </c>
      <c r="B2855" s="113" t="s">
        <v>115</v>
      </c>
    </row>
    <row r="2856" spans="1:2" x14ac:dyDescent="0.3">
      <c r="A2856" s="113" t="s">
        <v>86</v>
      </c>
      <c r="B2856" s="113" t="s">
        <v>17</v>
      </c>
    </row>
    <row r="2857" spans="1:2" x14ac:dyDescent="0.3">
      <c r="A2857" s="113" t="s">
        <v>86</v>
      </c>
      <c r="B2857" s="113" t="s">
        <v>17</v>
      </c>
    </row>
    <row r="2858" spans="1:2" x14ac:dyDescent="0.3">
      <c r="A2858" s="113" t="s">
        <v>86</v>
      </c>
      <c r="B2858" s="113" t="s">
        <v>17</v>
      </c>
    </row>
    <row r="2859" spans="1:2" x14ac:dyDescent="0.3">
      <c r="A2859" s="113" t="s">
        <v>86</v>
      </c>
      <c r="B2859" s="113" t="s">
        <v>17</v>
      </c>
    </row>
    <row r="2860" spans="1:2" x14ac:dyDescent="0.3">
      <c r="A2860" s="113" t="s">
        <v>86</v>
      </c>
      <c r="B2860" s="113" t="s">
        <v>17</v>
      </c>
    </row>
    <row r="2861" spans="1:2" x14ac:dyDescent="0.3">
      <c r="A2861" s="113" t="s">
        <v>31</v>
      </c>
      <c r="B2861" s="113" t="s">
        <v>121</v>
      </c>
    </row>
    <row r="2862" spans="1:2" x14ac:dyDescent="0.3">
      <c r="A2862" s="113" t="s">
        <v>3559</v>
      </c>
      <c r="B2862" s="113" t="s">
        <v>17</v>
      </c>
    </row>
    <row r="2863" spans="1:2" x14ac:dyDescent="0.3">
      <c r="A2863" s="113" t="s">
        <v>28</v>
      </c>
      <c r="B2863" s="113" t="s">
        <v>115</v>
      </c>
    </row>
    <row r="2864" spans="1:2" x14ac:dyDescent="0.3">
      <c r="A2864" s="113" t="s">
        <v>32</v>
      </c>
      <c r="B2864" s="113" t="s">
        <v>115</v>
      </c>
    </row>
    <row r="2865" spans="1:2" x14ac:dyDescent="0.3">
      <c r="A2865" s="113" t="s">
        <v>32</v>
      </c>
      <c r="B2865" s="113" t="s">
        <v>115</v>
      </c>
    </row>
    <row r="2866" spans="1:2" x14ac:dyDescent="0.3">
      <c r="A2866" s="113" t="s">
        <v>85</v>
      </c>
      <c r="B2866" s="113" t="s">
        <v>17</v>
      </c>
    </row>
    <row r="2867" spans="1:2" x14ac:dyDescent="0.3">
      <c r="A2867" s="113" t="s">
        <v>77</v>
      </c>
      <c r="B2867" s="113" t="s">
        <v>17</v>
      </c>
    </row>
    <row r="2868" spans="1:2" x14ac:dyDescent="0.3">
      <c r="A2868" s="113" t="s">
        <v>39</v>
      </c>
      <c r="B2868" s="113" t="s">
        <v>29</v>
      </c>
    </row>
    <row r="2869" spans="1:2" x14ac:dyDescent="0.3">
      <c r="A2869" s="113" t="s">
        <v>18</v>
      </c>
      <c r="B2869" s="113" t="s">
        <v>115</v>
      </c>
    </row>
    <row r="2870" spans="1:2" x14ac:dyDescent="0.3">
      <c r="A2870" s="113" t="s">
        <v>46</v>
      </c>
      <c r="B2870" s="113" t="s">
        <v>29</v>
      </c>
    </row>
    <row r="2871" spans="1:2" x14ac:dyDescent="0.3">
      <c r="A2871" s="113" t="s">
        <v>46</v>
      </c>
      <c r="B2871" s="113" t="s">
        <v>29</v>
      </c>
    </row>
    <row r="2872" spans="1:2" x14ac:dyDescent="0.3">
      <c r="A2872" s="113" t="s">
        <v>46</v>
      </c>
      <c r="B2872" s="113" t="s">
        <v>29</v>
      </c>
    </row>
    <row r="2873" spans="1:2" x14ac:dyDescent="0.3">
      <c r="A2873" s="113" t="s">
        <v>21</v>
      </c>
      <c r="B2873" s="113" t="s">
        <v>17</v>
      </c>
    </row>
    <row r="2874" spans="1:2" x14ac:dyDescent="0.3">
      <c r="A2874" s="113" t="s">
        <v>81</v>
      </c>
      <c r="B2874" s="113" t="s">
        <v>126</v>
      </c>
    </row>
    <row r="2875" spans="1:2" x14ac:dyDescent="0.3">
      <c r="A2875" s="113" t="s">
        <v>3665</v>
      </c>
      <c r="B2875" s="113" t="s">
        <v>121</v>
      </c>
    </row>
    <row r="2876" spans="1:2" x14ac:dyDescent="0.3">
      <c r="A2876" s="113" t="s">
        <v>3665</v>
      </c>
      <c r="B2876" s="113" t="s">
        <v>121</v>
      </c>
    </row>
    <row r="2877" spans="1:2" x14ac:dyDescent="0.3">
      <c r="A2877" s="113" t="s">
        <v>3665</v>
      </c>
      <c r="B2877" s="113" t="s">
        <v>121</v>
      </c>
    </row>
    <row r="2878" spans="1:2" x14ac:dyDescent="0.3">
      <c r="A2878" s="113" t="s">
        <v>3665</v>
      </c>
      <c r="B2878" s="113" t="s">
        <v>121</v>
      </c>
    </row>
    <row r="2879" spans="1:2" x14ac:dyDescent="0.3">
      <c r="A2879" s="113" t="s">
        <v>3665</v>
      </c>
      <c r="B2879" s="113" t="s">
        <v>121</v>
      </c>
    </row>
    <row r="2880" spans="1:2" x14ac:dyDescent="0.3">
      <c r="A2880" s="113" t="s">
        <v>82</v>
      </c>
      <c r="B2880" s="113" t="s">
        <v>17</v>
      </c>
    </row>
    <row r="2881" spans="1:2" x14ac:dyDescent="0.3">
      <c r="A2881" s="113" t="s">
        <v>18</v>
      </c>
      <c r="B2881" s="113" t="s">
        <v>115</v>
      </c>
    </row>
    <row r="2882" spans="1:2" x14ac:dyDescent="0.3">
      <c r="A2882" s="113" t="s">
        <v>30</v>
      </c>
      <c r="B2882" s="113" t="s">
        <v>17</v>
      </c>
    </row>
    <row r="2883" spans="1:2" x14ac:dyDescent="0.3">
      <c r="A2883" s="113" t="s">
        <v>104</v>
      </c>
      <c r="B2883" s="113" t="s">
        <v>115</v>
      </c>
    </row>
    <row r="2884" spans="1:2" x14ac:dyDescent="0.3">
      <c r="A2884" s="113" t="s">
        <v>104</v>
      </c>
      <c r="B2884" s="113" t="s">
        <v>115</v>
      </c>
    </row>
    <row r="2885" spans="1:2" x14ac:dyDescent="0.3">
      <c r="A2885" s="113" t="s">
        <v>104</v>
      </c>
      <c r="B2885" s="113" t="s">
        <v>115</v>
      </c>
    </row>
    <row r="2886" spans="1:2" x14ac:dyDescent="0.3">
      <c r="A2886" s="113" t="s">
        <v>46</v>
      </c>
      <c r="B2886" s="113" t="s">
        <v>29</v>
      </c>
    </row>
    <row r="2887" spans="1:2" x14ac:dyDescent="0.3">
      <c r="A2887" s="113" t="s">
        <v>46</v>
      </c>
      <c r="B2887" s="113" t="s">
        <v>29</v>
      </c>
    </row>
    <row r="2888" spans="1:2" x14ac:dyDescent="0.3">
      <c r="A2888" s="113" t="s">
        <v>39</v>
      </c>
      <c r="B2888" s="113" t="s">
        <v>29</v>
      </c>
    </row>
    <row r="2889" spans="1:2" x14ac:dyDescent="0.3">
      <c r="A2889" s="113" t="s">
        <v>3559</v>
      </c>
      <c r="B2889" s="113" t="s">
        <v>17</v>
      </c>
    </row>
    <row r="2890" spans="1:2" x14ac:dyDescent="0.3">
      <c r="A2890" s="113" t="s">
        <v>3559</v>
      </c>
      <c r="B2890" s="113" t="s">
        <v>17</v>
      </c>
    </row>
    <row r="2891" spans="1:2" x14ac:dyDescent="0.3">
      <c r="A2891" s="113" t="s">
        <v>57</v>
      </c>
      <c r="B2891" s="113" t="s">
        <v>17</v>
      </c>
    </row>
    <row r="2892" spans="1:2" x14ac:dyDescent="0.3">
      <c r="A2892" s="113" t="s">
        <v>4677</v>
      </c>
      <c r="B2892" s="113" t="s">
        <v>17</v>
      </c>
    </row>
    <row r="2893" spans="1:2" x14ac:dyDescent="0.3">
      <c r="A2893" s="113" t="s">
        <v>18</v>
      </c>
      <c r="B2893" s="113" t="s">
        <v>115</v>
      </c>
    </row>
    <row r="2894" spans="1:2" x14ac:dyDescent="0.3">
      <c r="A2894" s="113" t="s">
        <v>85</v>
      </c>
      <c r="B2894" s="113" t="s">
        <v>17</v>
      </c>
    </row>
    <row r="2895" spans="1:2" x14ac:dyDescent="0.3">
      <c r="A2895" s="113" t="s">
        <v>87</v>
      </c>
      <c r="B2895" s="113" t="s">
        <v>17</v>
      </c>
    </row>
    <row r="2896" spans="1:2" x14ac:dyDescent="0.3">
      <c r="A2896" s="113" t="s">
        <v>97</v>
      </c>
      <c r="B2896" s="113" t="s">
        <v>115</v>
      </c>
    </row>
    <row r="2897" spans="1:2" x14ac:dyDescent="0.3">
      <c r="A2897" s="113" t="s">
        <v>46</v>
      </c>
      <c r="B2897" s="113" t="s">
        <v>29</v>
      </c>
    </row>
    <row r="2898" spans="1:2" x14ac:dyDescent="0.3">
      <c r="A2898" s="113" t="s">
        <v>44</v>
      </c>
      <c r="B2898" s="113" t="s">
        <v>115</v>
      </c>
    </row>
    <row r="2899" spans="1:2" x14ac:dyDescent="0.3">
      <c r="A2899" s="113" t="s">
        <v>44</v>
      </c>
      <c r="B2899" s="113" t="s">
        <v>115</v>
      </c>
    </row>
    <row r="2900" spans="1:2" x14ac:dyDescent="0.3">
      <c r="A2900" s="113" t="s">
        <v>44</v>
      </c>
      <c r="B2900" s="113" t="s">
        <v>115</v>
      </c>
    </row>
    <row r="2901" spans="1:2" x14ac:dyDescent="0.3">
      <c r="A2901" s="113" t="s">
        <v>44</v>
      </c>
      <c r="B2901" s="113" t="s">
        <v>115</v>
      </c>
    </row>
    <row r="2902" spans="1:2" x14ac:dyDescent="0.3">
      <c r="A2902" s="113" t="s">
        <v>44</v>
      </c>
      <c r="B2902" s="113" t="s">
        <v>115</v>
      </c>
    </row>
    <row r="2903" spans="1:2" x14ac:dyDescent="0.3">
      <c r="A2903" s="113" t="s">
        <v>44</v>
      </c>
      <c r="B2903" s="113" t="s">
        <v>115</v>
      </c>
    </row>
    <row r="2904" spans="1:2" x14ac:dyDescent="0.3">
      <c r="A2904" s="113" t="s">
        <v>87</v>
      </c>
      <c r="B2904" s="113" t="s">
        <v>17</v>
      </c>
    </row>
    <row r="2905" spans="1:2" x14ac:dyDescent="0.3">
      <c r="A2905" s="113" t="s">
        <v>73</v>
      </c>
      <c r="B2905" s="113" t="s">
        <v>17</v>
      </c>
    </row>
    <row r="2906" spans="1:2" x14ac:dyDescent="0.3">
      <c r="A2906" s="113" t="s">
        <v>44</v>
      </c>
      <c r="B2906" s="113" t="s">
        <v>115</v>
      </c>
    </row>
    <row r="2907" spans="1:2" x14ac:dyDescent="0.3">
      <c r="A2907" s="113" t="s">
        <v>44</v>
      </c>
      <c r="B2907" s="113" t="s">
        <v>115</v>
      </c>
    </row>
    <row r="2908" spans="1:2" x14ac:dyDescent="0.3">
      <c r="A2908" s="113" t="s">
        <v>44</v>
      </c>
      <c r="B2908" s="113" t="s">
        <v>115</v>
      </c>
    </row>
    <row r="2909" spans="1:2" x14ac:dyDescent="0.3">
      <c r="A2909" s="113" t="s">
        <v>18</v>
      </c>
      <c r="B2909" s="113" t="s">
        <v>115</v>
      </c>
    </row>
    <row r="2910" spans="1:2" x14ac:dyDescent="0.3">
      <c r="A2910" s="113" t="s">
        <v>18</v>
      </c>
      <c r="B2910" s="113" t="s">
        <v>115</v>
      </c>
    </row>
    <row r="2911" spans="1:2" x14ac:dyDescent="0.3">
      <c r="A2911" s="113" t="s">
        <v>30</v>
      </c>
      <c r="B2911" s="113" t="s">
        <v>17</v>
      </c>
    </row>
    <row r="2912" spans="1:2" x14ac:dyDescent="0.3">
      <c r="A2912" s="113" t="s">
        <v>87</v>
      </c>
      <c r="B2912" s="113" t="s">
        <v>17</v>
      </c>
    </row>
    <row r="2913" spans="1:2" x14ac:dyDescent="0.3">
      <c r="A2913" s="113" t="s">
        <v>73</v>
      </c>
      <c r="B2913" s="113" t="s">
        <v>17</v>
      </c>
    </row>
    <row r="2914" spans="1:2" x14ac:dyDescent="0.3">
      <c r="A2914" s="113" t="s">
        <v>46</v>
      </c>
      <c r="B2914" s="113" t="s">
        <v>29</v>
      </c>
    </row>
    <row r="2915" spans="1:2" x14ac:dyDescent="0.3">
      <c r="A2915" s="113" t="s">
        <v>46</v>
      </c>
      <c r="B2915" s="113" t="s">
        <v>29</v>
      </c>
    </row>
    <row r="2916" spans="1:2" x14ac:dyDescent="0.3">
      <c r="A2916" s="113" t="s">
        <v>31</v>
      </c>
      <c r="B2916" s="113" t="s">
        <v>121</v>
      </c>
    </row>
    <row r="2917" spans="1:2" x14ac:dyDescent="0.3">
      <c r="A2917" s="113" t="s">
        <v>41</v>
      </c>
      <c r="B2917" s="113" t="s">
        <v>17</v>
      </c>
    </row>
    <row r="2918" spans="1:2" x14ac:dyDescent="0.3">
      <c r="A2918" s="113" t="s">
        <v>18</v>
      </c>
      <c r="B2918" s="113" t="s">
        <v>115</v>
      </c>
    </row>
    <row r="2919" spans="1:2" x14ac:dyDescent="0.3">
      <c r="A2919" s="113" t="s">
        <v>18</v>
      </c>
      <c r="B2919" s="113" t="s">
        <v>115</v>
      </c>
    </row>
    <row r="2920" spans="1:2" x14ac:dyDescent="0.3">
      <c r="A2920" s="113" t="s">
        <v>77</v>
      </c>
      <c r="B2920" s="113" t="s">
        <v>17</v>
      </c>
    </row>
    <row r="2921" spans="1:2" x14ac:dyDescent="0.3">
      <c r="A2921" s="113" t="s">
        <v>39</v>
      </c>
      <c r="B2921" s="113" t="s">
        <v>29</v>
      </c>
    </row>
    <row r="2922" spans="1:2" x14ac:dyDescent="0.3">
      <c r="A2922" s="113" t="s">
        <v>39</v>
      </c>
      <c r="B2922" s="113" t="s">
        <v>29</v>
      </c>
    </row>
    <row r="2923" spans="1:2" x14ac:dyDescent="0.3">
      <c r="A2923" s="113" t="s">
        <v>46</v>
      </c>
      <c r="B2923" s="113" t="s">
        <v>29</v>
      </c>
    </row>
    <row r="2924" spans="1:2" x14ac:dyDescent="0.3">
      <c r="A2924" s="113" t="s">
        <v>46</v>
      </c>
      <c r="B2924" s="113" t="s">
        <v>29</v>
      </c>
    </row>
    <row r="2925" spans="1:2" x14ac:dyDescent="0.3">
      <c r="A2925" s="113" t="s">
        <v>73</v>
      </c>
      <c r="B2925" s="113" t="s">
        <v>17</v>
      </c>
    </row>
    <row r="2926" spans="1:2" x14ac:dyDescent="0.3">
      <c r="A2926" s="113" t="s">
        <v>85</v>
      </c>
      <c r="B2926" s="113" t="s">
        <v>17</v>
      </c>
    </row>
    <row r="2927" spans="1:2" x14ac:dyDescent="0.3">
      <c r="A2927" s="113" t="s">
        <v>72</v>
      </c>
      <c r="B2927" s="113" t="s">
        <v>17</v>
      </c>
    </row>
    <row r="2928" spans="1:2" x14ac:dyDescent="0.3">
      <c r="A2928" s="113" t="s">
        <v>73</v>
      </c>
      <c r="B2928" s="113" t="s">
        <v>17</v>
      </c>
    </row>
    <row r="2929" spans="1:2" x14ac:dyDescent="0.3">
      <c r="A2929" s="113" t="s">
        <v>3559</v>
      </c>
      <c r="B2929" s="113" t="s">
        <v>17</v>
      </c>
    </row>
    <row r="2930" spans="1:2" x14ac:dyDescent="0.3">
      <c r="A2930" s="113" t="s">
        <v>39</v>
      </c>
      <c r="B2930" s="113" t="s">
        <v>29</v>
      </c>
    </row>
    <row r="2931" spans="1:2" x14ac:dyDescent="0.3">
      <c r="A2931" s="113" t="s">
        <v>46</v>
      </c>
      <c r="B2931" s="113" t="s">
        <v>29</v>
      </c>
    </row>
    <row r="2932" spans="1:2" x14ac:dyDescent="0.3">
      <c r="A2932" s="113" t="s">
        <v>46</v>
      </c>
      <c r="B2932" s="113" t="s">
        <v>29</v>
      </c>
    </row>
    <row r="2933" spans="1:2" x14ac:dyDescent="0.3">
      <c r="A2933" s="113" t="s">
        <v>85</v>
      </c>
      <c r="B2933" s="113" t="s">
        <v>17</v>
      </c>
    </row>
    <row r="2934" spans="1:2" x14ac:dyDescent="0.3">
      <c r="A2934" s="113" t="s">
        <v>39</v>
      </c>
      <c r="B2934" s="113" t="s">
        <v>29</v>
      </c>
    </row>
    <row r="2935" spans="1:2" x14ac:dyDescent="0.3">
      <c r="A2935" s="113" t="s">
        <v>49</v>
      </c>
      <c r="B2935" s="113" t="s">
        <v>115</v>
      </c>
    </row>
    <row r="2936" spans="1:2" x14ac:dyDescent="0.3">
      <c r="A2936" s="113" t="s">
        <v>30</v>
      </c>
      <c r="B2936" s="113" t="s">
        <v>17</v>
      </c>
    </row>
    <row r="2937" spans="1:2" x14ac:dyDescent="0.3">
      <c r="A2937" s="113" t="s">
        <v>87</v>
      </c>
      <c r="B2937" s="113" t="s">
        <v>17</v>
      </c>
    </row>
    <row r="2938" spans="1:2" x14ac:dyDescent="0.3">
      <c r="A2938" s="113" t="s">
        <v>46</v>
      </c>
      <c r="B2938" s="113" t="s">
        <v>29</v>
      </c>
    </row>
    <row r="2939" spans="1:2" x14ac:dyDescent="0.3">
      <c r="A2939" s="113" t="s">
        <v>46</v>
      </c>
      <c r="B2939" s="113" t="s">
        <v>29</v>
      </c>
    </row>
    <row r="2940" spans="1:2" x14ac:dyDescent="0.3">
      <c r="A2940" s="113" t="s">
        <v>72</v>
      </c>
      <c r="B2940" s="113" t="s">
        <v>17</v>
      </c>
    </row>
    <row r="2941" spans="1:2" x14ac:dyDescent="0.3">
      <c r="A2941" s="113" t="s">
        <v>83</v>
      </c>
      <c r="B2941" s="113" t="s">
        <v>17</v>
      </c>
    </row>
    <row r="2942" spans="1:2" x14ac:dyDescent="0.3">
      <c r="A2942" s="113" t="s">
        <v>43</v>
      </c>
      <c r="B2942" s="113" t="s">
        <v>29</v>
      </c>
    </row>
    <row r="2943" spans="1:2" x14ac:dyDescent="0.3">
      <c r="A2943" s="113" t="s">
        <v>49</v>
      </c>
      <c r="B2943" s="113" t="s">
        <v>115</v>
      </c>
    </row>
    <row r="2944" spans="1:2" x14ac:dyDescent="0.3">
      <c r="A2944" s="113" t="s">
        <v>30</v>
      </c>
      <c r="B2944" s="113" t="s">
        <v>17</v>
      </c>
    </row>
    <row r="2945" spans="1:2" x14ac:dyDescent="0.3">
      <c r="A2945" s="113" t="s">
        <v>85</v>
      </c>
      <c r="B2945" s="113" t="s">
        <v>17</v>
      </c>
    </row>
    <row r="2946" spans="1:2" x14ac:dyDescent="0.3">
      <c r="A2946" s="113" t="s">
        <v>82</v>
      </c>
      <c r="B2946" s="113" t="s">
        <v>17</v>
      </c>
    </row>
    <row r="2947" spans="1:2" x14ac:dyDescent="0.3">
      <c r="A2947" s="113" t="s">
        <v>4283</v>
      </c>
      <c r="B2947" s="113" t="s">
        <v>17</v>
      </c>
    </row>
    <row r="2948" spans="1:2" x14ac:dyDescent="0.3">
      <c r="A2948" s="113" t="s">
        <v>35</v>
      </c>
      <c r="B2948" s="113" t="s">
        <v>17</v>
      </c>
    </row>
    <row r="2949" spans="1:2" x14ac:dyDescent="0.3">
      <c r="A2949" s="113" t="s">
        <v>35</v>
      </c>
      <c r="B2949" s="113" t="s">
        <v>17</v>
      </c>
    </row>
    <row r="2950" spans="1:2" x14ac:dyDescent="0.3">
      <c r="A2950" s="113" t="s">
        <v>18</v>
      </c>
      <c r="B2950" s="113" t="s">
        <v>115</v>
      </c>
    </row>
    <row r="2951" spans="1:2" x14ac:dyDescent="0.3">
      <c r="A2951" s="113" t="s">
        <v>84</v>
      </c>
      <c r="B2951" s="113" t="s">
        <v>17</v>
      </c>
    </row>
    <row r="2952" spans="1:2" x14ac:dyDescent="0.3">
      <c r="A2952" s="113" t="s">
        <v>50</v>
      </c>
      <c r="B2952" s="113" t="s">
        <v>25</v>
      </c>
    </row>
    <row r="2953" spans="1:2" x14ac:dyDescent="0.3">
      <c r="A2953" s="113" t="s">
        <v>49</v>
      </c>
      <c r="B2953" s="113" t="s">
        <v>115</v>
      </c>
    </row>
    <row r="2954" spans="1:2" x14ac:dyDescent="0.3">
      <c r="A2954" s="113" t="s">
        <v>46</v>
      </c>
      <c r="B2954" s="113" t="s">
        <v>29</v>
      </c>
    </row>
    <row r="2955" spans="1:2" x14ac:dyDescent="0.3">
      <c r="A2955" s="113" t="s">
        <v>83</v>
      </c>
      <c r="B2955" s="113" t="s">
        <v>17</v>
      </c>
    </row>
    <row r="2956" spans="1:2" x14ac:dyDescent="0.3">
      <c r="A2956" s="113" t="s">
        <v>76</v>
      </c>
      <c r="B2956" s="113" t="s">
        <v>17</v>
      </c>
    </row>
    <row r="2957" spans="1:2" x14ac:dyDescent="0.3">
      <c r="A2957" s="113" t="s">
        <v>43</v>
      </c>
      <c r="B2957" s="113" t="s">
        <v>29</v>
      </c>
    </row>
    <row r="2958" spans="1:2" x14ac:dyDescent="0.3">
      <c r="A2958" s="113" t="s">
        <v>39</v>
      </c>
      <c r="B2958" s="113" t="s">
        <v>29</v>
      </c>
    </row>
    <row r="2959" spans="1:2" x14ac:dyDescent="0.3">
      <c r="A2959" s="113" t="s">
        <v>46</v>
      </c>
      <c r="B2959" s="113" t="s">
        <v>29</v>
      </c>
    </row>
    <row r="2960" spans="1:2" x14ac:dyDescent="0.3">
      <c r="A2960" s="113" t="s">
        <v>46</v>
      </c>
      <c r="B2960" s="113" t="s">
        <v>29</v>
      </c>
    </row>
    <row r="2961" spans="1:2" x14ac:dyDescent="0.3">
      <c r="A2961" s="113" t="s">
        <v>46</v>
      </c>
      <c r="B2961" s="113" t="s">
        <v>29</v>
      </c>
    </row>
    <row r="2962" spans="1:2" x14ac:dyDescent="0.3">
      <c r="A2962" s="113" t="s">
        <v>46</v>
      </c>
      <c r="B2962" s="113" t="s">
        <v>29</v>
      </c>
    </row>
    <row r="2963" spans="1:2" x14ac:dyDescent="0.3">
      <c r="A2963" s="113" t="s">
        <v>46</v>
      </c>
      <c r="B2963" s="113" t="s">
        <v>29</v>
      </c>
    </row>
    <row r="2964" spans="1:2" x14ac:dyDescent="0.3">
      <c r="A2964" s="113" t="s">
        <v>87</v>
      </c>
      <c r="B2964" s="113" t="s">
        <v>17</v>
      </c>
    </row>
    <row r="2965" spans="1:2" x14ac:dyDescent="0.3">
      <c r="A2965" s="113" t="s">
        <v>77</v>
      </c>
      <c r="B2965" s="113" t="s">
        <v>17</v>
      </c>
    </row>
    <row r="2966" spans="1:2" x14ac:dyDescent="0.3">
      <c r="A2966" s="113" t="s">
        <v>30</v>
      </c>
      <c r="B2966" s="113" t="s">
        <v>17</v>
      </c>
    </row>
    <row r="2967" spans="1:2" x14ac:dyDescent="0.3">
      <c r="A2967" s="113" t="s">
        <v>18</v>
      </c>
      <c r="B2967" s="113" t="s">
        <v>115</v>
      </c>
    </row>
    <row r="2968" spans="1:2" x14ac:dyDescent="0.3">
      <c r="A2968" s="113" t="s">
        <v>103</v>
      </c>
      <c r="B2968" s="113" t="s">
        <v>17</v>
      </c>
    </row>
    <row r="2969" spans="1:2" x14ac:dyDescent="0.3">
      <c r="A2969" s="113" t="s">
        <v>103</v>
      </c>
      <c r="B2969" s="113" t="s">
        <v>17</v>
      </c>
    </row>
    <row r="2970" spans="1:2" x14ac:dyDescent="0.3">
      <c r="A2970" s="113" t="s">
        <v>18</v>
      </c>
      <c r="B2970" s="113" t="s">
        <v>115</v>
      </c>
    </row>
    <row r="2971" spans="1:2" x14ac:dyDescent="0.3">
      <c r="A2971" s="113" t="s">
        <v>82</v>
      </c>
      <c r="B2971" s="113" t="s">
        <v>17</v>
      </c>
    </row>
    <row r="2972" spans="1:2" x14ac:dyDescent="0.3">
      <c r="A2972" s="113" t="s">
        <v>31</v>
      </c>
      <c r="B2972" s="113" t="s">
        <v>121</v>
      </c>
    </row>
    <row r="2973" spans="1:2" x14ac:dyDescent="0.3">
      <c r="A2973" s="113" t="s">
        <v>26</v>
      </c>
      <c r="B2973" s="113" t="s">
        <v>127</v>
      </c>
    </row>
    <row r="2974" spans="1:2" x14ac:dyDescent="0.3">
      <c r="A2974" s="113" t="s">
        <v>39</v>
      </c>
      <c r="B2974" s="113" t="s">
        <v>29</v>
      </c>
    </row>
    <row r="2975" spans="1:2" x14ac:dyDescent="0.3">
      <c r="A2975" s="113" t="s">
        <v>46</v>
      </c>
      <c r="B2975" s="113" t="s">
        <v>29</v>
      </c>
    </row>
    <row r="2976" spans="1:2" x14ac:dyDescent="0.3">
      <c r="A2976" s="113" t="s">
        <v>31</v>
      </c>
      <c r="B2976" s="113" t="s">
        <v>121</v>
      </c>
    </row>
    <row r="2977" spans="1:2" x14ac:dyDescent="0.3">
      <c r="A2977" s="113" t="s">
        <v>30</v>
      </c>
      <c r="B2977" s="113" t="s">
        <v>17</v>
      </c>
    </row>
    <row r="2978" spans="1:2" x14ac:dyDescent="0.3">
      <c r="A2978" s="113" t="s">
        <v>18</v>
      </c>
      <c r="B2978" s="113" t="s">
        <v>115</v>
      </c>
    </row>
    <row r="2979" spans="1:2" x14ac:dyDescent="0.3">
      <c r="A2979" s="113" t="s">
        <v>3665</v>
      </c>
      <c r="B2979" s="113" t="s">
        <v>121</v>
      </c>
    </row>
    <row r="2980" spans="1:2" x14ac:dyDescent="0.3">
      <c r="A2980" s="113" t="s">
        <v>81</v>
      </c>
      <c r="B2980" s="113" t="s">
        <v>126</v>
      </c>
    </row>
    <row r="2981" spans="1:2" x14ac:dyDescent="0.3">
      <c r="A2981" s="113" t="s">
        <v>81</v>
      </c>
      <c r="B2981" s="113" t="s">
        <v>126</v>
      </c>
    </row>
    <row r="2982" spans="1:2" x14ac:dyDescent="0.3">
      <c r="A2982" s="113" t="s">
        <v>3665</v>
      </c>
      <c r="B2982" s="113" t="s">
        <v>121</v>
      </c>
    </row>
    <row r="2983" spans="1:2" x14ac:dyDescent="0.3">
      <c r="A2983" s="113" t="s">
        <v>77</v>
      </c>
      <c r="B2983" s="113" t="s">
        <v>17</v>
      </c>
    </row>
    <row r="2984" spans="1:2" x14ac:dyDescent="0.3">
      <c r="A2984" s="113" t="s">
        <v>39</v>
      </c>
      <c r="B2984" s="113" t="s">
        <v>29</v>
      </c>
    </row>
    <row r="2985" spans="1:2" x14ac:dyDescent="0.3">
      <c r="A2985" s="113" t="s">
        <v>30</v>
      </c>
      <c r="B2985" s="113" t="s">
        <v>17</v>
      </c>
    </row>
    <row r="2986" spans="1:2" x14ac:dyDescent="0.3">
      <c r="A2986" s="113" t="s">
        <v>30</v>
      </c>
      <c r="B2986" s="113" t="s">
        <v>17</v>
      </c>
    </row>
    <row r="2987" spans="1:2" x14ac:dyDescent="0.3">
      <c r="A2987" s="113" t="s">
        <v>46</v>
      </c>
      <c r="B2987" s="113" t="s">
        <v>29</v>
      </c>
    </row>
    <row r="2988" spans="1:2" x14ac:dyDescent="0.3">
      <c r="A2988" s="113" t="s">
        <v>31</v>
      </c>
      <c r="B2988" s="113" t="s">
        <v>121</v>
      </c>
    </row>
    <row r="2989" spans="1:2" x14ac:dyDescent="0.3">
      <c r="A2989" s="113" t="s">
        <v>18</v>
      </c>
      <c r="B2989" s="113" t="s">
        <v>115</v>
      </c>
    </row>
    <row r="2990" spans="1:2" x14ac:dyDescent="0.3">
      <c r="A2990" s="113" t="s">
        <v>31</v>
      </c>
      <c r="B2990" s="113" t="s">
        <v>121</v>
      </c>
    </row>
    <row r="2991" spans="1:2" x14ac:dyDescent="0.3">
      <c r="A2991" s="113" t="s">
        <v>77</v>
      </c>
      <c r="B2991" s="113" t="s">
        <v>17</v>
      </c>
    </row>
    <row r="2992" spans="1:2" x14ac:dyDescent="0.3">
      <c r="A2992" s="113" t="s">
        <v>39</v>
      </c>
      <c r="B2992" s="113" t="s">
        <v>29</v>
      </c>
    </row>
    <row r="2993" spans="1:2" x14ac:dyDescent="0.3">
      <c r="A2993" s="113" t="s">
        <v>46</v>
      </c>
      <c r="B2993" s="113" t="s">
        <v>29</v>
      </c>
    </row>
    <row r="2994" spans="1:2" x14ac:dyDescent="0.3">
      <c r="A2994" s="113" t="s">
        <v>18</v>
      </c>
      <c r="B2994" s="113" t="s">
        <v>115</v>
      </c>
    </row>
    <row r="2995" spans="1:2" x14ac:dyDescent="0.3">
      <c r="A2995" s="113" t="s">
        <v>30</v>
      </c>
      <c r="B2995" s="113" t="s">
        <v>17</v>
      </c>
    </row>
    <row r="2996" spans="1:2" x14ac:dyDescent="0.3">
      <c r="A2996" s="113" t="s">
        <v>66</v>
      </c>
      <c r="B2996" s="113" t="s">
        <v>17</v>
      </c>
    </row>
    <row r="2997" spans="1:2" x14ac:dyDescent="0.3">
      <c r="A2997" s="113" t="s">
        <v>36</v>
      </c>
      <c r="B2997" s="113" t="s">
        <v>17</v>
      </c>
    </row>
    <row r="2998" spans="1:2" x14ac:dyDescent="0.3">
      <c r="A2998" s="113" t="s">
        <v>87</v>
      </c>
      <c r="B2998" s="113" t="s">
        <v>17</v>
      </c>
    </row>
    <row r="2999" spans="1:2" x14ac:dyDescent="0.3">
      <c r="A2999" s="113" t="s">
        <v>3665</v>
      </c>
      <c r="B2999" s="113" t="s">
        <v>121</v>
      </c>
    </row>
    <row r="3000" spans="1:2" x14ac:dyDescent="0.3">
      <c r="A3000" s="113" t="s">
        <v>30</v>
      </c>
      <c r="B3000" s="113" t="s">
        <v>17</v>
      </c>
    </row>
    <row r="3001" spans="1:2" x14ac:dyDescent="0.3">
      <c r="A3001" s="113" t="s">
        <v>42</v>
      </c>
      <c r="B3001" s="113" t="s">
        <v>121</v>
      </c>
    </row>
    <row r="3002" spans="1:2" x14ac:dyDescent="0.3">
      <c r="A3002" s="113" t="s">
        <v>39</v>
      </c>
      <c r="B3002" s="113" t="s">
        <v>29</v>
      </c>
    </row>
    <row r="3003" spans="1:2" x14ac:dyDescent="0.3">
      <c r="A3003" s="113" t="s">
        <v>18</v>
      </c>
      <c r="B3003" s="113" t="s">
        <v>115</v>
      </c>
    </row>
    <row r="3004" spans="1:2" x14ac:dyDescent="0.3">
      <c r="A3004" s="113" t="s">
        <v>30</v>
      </c>
      <c r="B3004" s="113" t="s">
        <v>17</v>
      </c>
    </row>
    <row r="3005" spans="1:2" x14ac:dyDescent="0.3">
      <c r="A3005" s="113" t="s">
        <v>87</v>
      </c>
      <c r="B3005" s="113" t="s">
        <v>17</v>
      </c>
    </row>
    <row r="3006" spans="1:2" x14ac:dyDescent="0.3">
      <c r="A3006" s="113" t="s">
        <v>46</v>
      </c>
      <c r="B3006" s="113" t="s">
        <v>29</v>
      </c>
    </row>
    <row r="3007" spans="1:2" x14ac:dyDescent="0.3">
      <c r="A3007" s="113" t="s">
        <v>50</v>
      </c>
      <c r="B3007" s="113" t="s">
        <v>25</v>
      </c>
    </row>
    <row r="3008" spans="1:2" x14ac:dyDescent="0.3">
      <c r="A3008" s="113" t="s">
        <v>22</v>
      </c>
      <c r="B3008" s="113" t="s">
        <v>17</v>
      </c>
    </row>
    <row r="3009" spans="1:2" x14ac:dyDescent="0.3">
      <c r="A3009" s="113" t="s">
        <v>18</v>
      </c>
      <c r="B3009" s="113" t="s">
        <v>115</v>
      </c>
    </row>
    <row r="3010" spans="1:2" x14ac:dyDescent="0.3">
      <c r="A3010" s="113" t="s">
        <v>3559</v>
      </c>
      <c r="B3010" s="113" t="s">
        <v>17</v>
      </c>
    </row>
    <row r="3011" spans="1:2" x14ac:dyDescent="0.3">
      <c r="A3011" s="113" t="s">
        <v>79</v>
      </c>
      <c r="B3011" s="113" t="s">
        <v>115</v>
      </c>
    </row>
    <row r="3012" spans="1:2" x14ac:dyDescent="0.3">
      <c r="A3012" s="113" t="s">
        <v>39</v>
      </c>
      <c r="B3012" s="113" t="s">
        <v>29</v>
      </c>
    </row>
    <row r="3013" spans="1:2" x14ac:dyDescent="0.3">
      <c r="A3013" s="113" t="s">
        <v>30</v>
      </c>
      <c r="B3013" s="113" t="s">
        <v>17</v>
      </c>
    </row>
    <row r="3014" spans="1:2" x14ac:dyDescent="0.3">
      <c r="A3014" s="113" t="s">
        <v>30</v>
      </c>
      <c r="B3014" s="113" t="s">
        <v>17</v>
      </c>
    </row>
    <row r="3015" spans="1:2" x14ac:dyDescent="0.3">
      <c r="A3015" s="113" t="s">
        <v>18</v>
      </c>
      <c r="B3015" s="113" t="s">
        <v>115</v>
      </c>
    </row>
    <row r="3016" spans="1:2" x14ac:dyDescent="0.3">
      <c r="A3016" s="113" t="s">
        <v>46</v>
      </c>
      <c r="B3016" s="113" t="s">
        <v>29</v>
      </c>
    </row>
    <row r="3017" spans="1:2" x14ac:dyDescent="0.3">
      <c r="A3017" s="113" t="s">
        <v>46</v>
      </c>
      <c r="B3017" s="113" t="s">
        <v>29</v>
      </c>
    </row>
    <row r="3018" spans="1:2" x14ac:dyDescent="0.3">
      <c r="A3018" s="113" t="s">
        <v>46</v>
      </c>
      <c r="B3018" s="113" t="s">
        <v>29</v>
      </c>
    </row>
    <row r="3019" spans="1:2" x14ac:dyDescent="0.3">
      <c r="A3019" s="113" t="s">
        <v>46</v>
      </c>
      <c r="B3019" s="113" t="s">
        <v>29</v>
      </c>
    </row>
    <row r="3020" spans="1:2" x14ac:dyDescent="0.3">
      <c r="A3020" s="113" t="s">
        <v>46</v>
      </c>
      <c r="B3020" s="113" t="s">
        <v>29</v>
      </c>
    </row>
    <row r="3021" spans="1:2" x14ac:dyDescent="0.3">
      <c r="A3021" s="113" t="s">
        <v>46</v>
      </c>
      <c r="B3021" s="113" t="s">
        <v>29</v>
      </c>
    </row>
    <row r="3022" spans="1:2" x14ac:dyDescent="0.3">
      <c r="A3022" s="113" t="s">
        <v>46</v>
      </c>
      <c r="B3022" s="113" t="s">
        <v>29</v>
      </c>
    </row>
    <row r="3023" spans="1:2" x14ac:dyDescent="0.3">
      <c r="A3023" s="113" t="s">
        <v>50</v>
      </c>
      <c r="B3023" s="113" t="s">
        <v>25</v>
      </c>
    </row>
    <row r="3024" spans="1:2" x14ac:dyDescent="0.3">
      <c r="A3024" s="113" t="s">
        <v>48</v>
      </c>
      <c r="B3024" s="113" t="s">
        <v>17</v>
      </c>
    </row>
    <row r="3025" spans="1:2" x14ac:dyDescent="0.3">
      <c r="A3025" s="113" t="s">
        <v>22</v>
      </c>
      <c r="B3025" s="113" t="s">
        <v>17</v>
      </c>
    </row>
    <row r="3026" spans="1:2" x14ac:dyDescent="0.3">
      <c r="A3026" s="113" t="s">
        <v>73</v>
      </c>
      <c r="B3026" s="113" t="s">
        <v>17</v>
      </c>
    </row>
    <row r="3027" spans="1:2" x14ac:dyDescent="0.3">
      <c r="A3027" s="113" t="s">
        <v>31</v>
      </c>
      <c r="B3027" s="113" t="s">
        <v>121</v>
      </c>
    </row>
    <row r="3028" spans="1:2" x14ac:dyDescent="0.3">
      <c r="A3028" s="113" t="s">
        <v>70</v>
      </c>
      <c r="B3028" s="113" t="s">
        <v>34</v>
      </c>
    </row>
    <row r="3029" spans="1:2" x14ac:dyDescent="0.3">
      <c r="A3029" s="113" t="s">
        <v>54</v>
      </c>
      <c r="B3029" s="113" t="s">
        <v>115</v>
      </c>
    </row>
    <row r="3030" spans="1:2" x14ac:dyDescent="0.3">
      <c r="A3030" s="113" t="s">
        <v>55</v>
      </c>
      <c r="B3030" s="113" t="s">
        <v>115</v>
      </c>
    </row>
    <row r="3031" spans="1:2" x14ac:dyDescent="0.3">
      <c r="A3031" s="113" t="s">
        <v>30</v>
      </c>
      <c r="B3031" s="113" t="s">
        <v>17</v>
      </c>
    </row>
    <row r="3032" spans="1:2" x14ac:dyDescent="0.3">
      <c r="A3032" s="113" t="s">
        <v>76</v>
      </c>
      <c r="B3032" s="113" t="s">
        <v>17</v>
      </c>
    </row>
    <row r="3033" spans="1:2" x14ac:dyDescent="0.3">
      <c r="A3033" s="113" t="s">
        <v>30</v>
      </c>
      <c r="B3033" s="113" t="s">
        <v>17</v>
      </c>
    </row>
    <row r="3034" spans="1:2" x14ac:dyDescent="0.3">
      <c r="A3034" s="113" t="s">
        <v>18</v>
      </c>
      <c r="B3034" s="113" t="s">
        <v>115</v>
      </c>
    </row>
    <row r="3035" spans="1:2" x14ac:dyDescent="0.3">
      <c r="A3035" s="113" t="s">
        <v>18</v>
      </c>
      <c r="B3035" s="113" t="s">
        <v>115</v>
      </c>
    </row>
    <row r="3036" spans="1:2" x14ac:dyDescent="0.3">
      <c r="A3036" s="113" t="s">
        <v>83</v>
      </c>
      <c r="B3036" s="113" t="s">
        <v>17</v>
      </c>
    </row>
    <row r="3037" spans="1:2" x14ac:dyDescent="0.3">
      <c r="A3037" s="113" t="s">
        <v>56</v>
      </c>
      <c r="B3037" s="113" t="s">
        <v>17</v>
      </c>
    </row>
    <row r="3038" spans="1:2" x14ac:dyDescent="0.3">
      <c r="A3038" s="113" t="s">
        <v>66</v>
      </c>
      <c r="B3038" s="113" t="s">
        <v>17</v>
      </c>
    </row>
    <row r="3039" spans="1:2" x14ac:dyDescent="0.3">
      <c r="A3039" s="113" t="s">
        <v>39</v>
      </c>
      <c r="B3039" s="113" t="s">
        <v>29</v>
      </c>
    </row>
    <row r="3040" spans="1:2" x14ac:dyDescent="0.3">
      <c r="A3040" s="113" t="s">
        <v>46</v>
      </c>
      <c r="B3040" s="113" t="s">
        <v>29</v>
      </c>
    </row>
    <row r="3041" spans="1:2" x14ac:dyDescent="0.3">
      <c r="A3041" s="113" t="s">
        <v>30</v>
      </c>
      <c r="B3041" s="113" t="s">
        <v>17</v>
      </c>
    </row>
    <row r="3042" spans="1:2" x14ac:dyDescent="0.3">
      <c r="A3042" s="113" t="s">
        <v>18</v>
      </c>
      <c r="B3042" s="113" t="s">
        <v>115</v>
      </c>
    </row>
    <row r="3043" spans="1:2" x14ac:dyDescent="0.3">
      <c r="A3043" s="113" t="s">
        <v>4895</v>
      </c>
      <c r="B3043" s="113" t="s">
        <v>17</v>
      </c>
    </row>
    <row r="3044" spans="1:2" x14ac:dyDescent="0.3">
      <c r="A3044" s="113" t="s">
        <v>18</v>
      </c>
      <c r="B3044" s="113" t="s">
        <v>115</v>
      </c>
    </row>
    <row r="3045" spans="1:2" x14ac:dyDescent="0.3">
      <c r="A3045" s="113" t="s">
        <v>85</v>
      </c>
      <c r="B3045" s="113" t="s">
        <v>17</v>
      </c>
    </row>
    <row r="3046" spans="1:2" x14ac:dyDescent="0.3">
      <c r="A3046" s="113" t="s">
        <v>57</v>
      </c>
      <c r="B3046" s="113" t="s">
        <v>17</v>
      </c>
    </row>
    <row r="3047" spans="1:2" x14ac:dyDescent="0.3">
      <c r="A3047" s="113" t="s">
        <v>4895</v>
      </c>
      <c r="B3047" s="113" t="s">
        <v>17</v>
      </c>
    </row>
    <row r="3048" spans="1:2" x14ac:dyDescent="0.3">
      <c r="A3048" s="113" t="s">
        <v>87</v>
      </c>
      <c r="B3048" s="113" t="s">
        <v>17</v>
      </c>
    </row>
    <row r="3049" spans="1:2" x14ac:dyDescent="0.3">
      <c r="A3049" s="113" t="s">
        <v>89</v>
      </c>
      <c r="B3049" s="113" t="s">
        <v>17</v>
      </c>
    </row>
    <row r="3050" spans="1:2" x14ac:dyDescent="0.3">
      <c r="A3050" s="113" t="s">
        <v>22</v>
      </c>
      <c r="B3050" s="113" t="s">
        <v>17</v>
      </c>
    </row>
    <row r="3051" spans="1:2" x14ac:dyDescent="0.3">
      <c r="A3051" s="113" t="s">
        <v>46</v>
      </c>
      <c r="B3051" s="113" t="s">
        <v>29</v>
      </c>
    </row>
    <row r="3052" spans="1:2" x14ac:dyDescent="0.3">
      <c r="A3052" s="113" t="s">
        <v>46</v>
      </c>
      <c r="B3052" s="113" t="s">
        <v>29</v>
      </c>
    </row>
    <row r="3053" spans="1:2" x14ac:dyDescent="0.3">
      <c r="A3053" s="113" t="s">
        <v>46</v>
      </c>
      <c r="B3053" s="113" t="s">
        <v>29</v>
      </c>
    </row>
    <row r="3054" spans="1:2" x14ac:dyDescent="0.3">
      <c r="A3054" s="113" t="s">
        <v>30</v>
      </c>
      <c r="B3054" s="113" t="s">
        <v>17</v>
      </c>
    </row>
    <row r="3055" spans="1:2" x14ac:dyDescent="0.3">
      <c r="A3055" s="113" t="s">
        <v>3665</v>
      </c>
      <c r="B3055" s="113" t="s">
        <v>121</v>
      </c>
    </row>
    <row r="3056" spans="1:2" x14ac:dyDescent="0.3">
      <c r="A3056" s="113" t="s">
        <v>3665</v>
      </c>
      <c r="B3056" s="113" t="s">
        <v>121</v>
      </c>
    </row>
    <row r="3057" spans="1:2" x14ac:dyDescent="0.3">
      <c r="A3057" s="113" t="s">
        <v>73</v>
      </c>
      <c r="B3057" s="113" t="s">
        <v>17</v>
      </c>
    </row>
    <row r="3058" spans="1:2" x14ac:dyDescent="0.3">
      <c r="A3058" s="113" t="s">
        <v>18</v>
      </c>
      <c r="B3058" s="113" t="s">
        <v>115</v>
      </c>
    </row>
    <row r="3059" spans="1:2" x14ac:dyDescent="0.3">
      <c r="A3059" s="113" t="s">
        <v>73</v>
      </c>
      <c r="B3059" s="113" t="s">
        <v>17</v>
      </c>
    </row>
    <row r="3060" spans="1:2" x14ac:dyDescent="0.3">
      <c r="A3060" s="113" t="s">
        <v>18</v>
      </c>
      <c r="B3060" s="113" t="s">
        <v>115</v>
      </c>
    </row>
    <row r="3061" spans="1:2" x14ac:dyDescent="0.3">
      <c r="A3061" s="113" t="s">
        <v>4677</v>
      </c>
      <c r="B3061" s="113" t="s">
        <v>17</v>
      </c>
    </row>
    <row r="3062" spans="1:2" x14ac:dyDescent="0.3">
      <c r="A3062" s="113" t="s">
        <v>39</v>
      </c>
      <c r="B3062" s="113" t="s">
        <v>29</v>
      </c>
    </row>
    <row r="3063" spans="1:2" x14ac:dyDescent="0.3">
      <c r="A3063" s="113" t="s">
        <v>46</v>
      </c>
      <c r="B3063" s="113" t="s">
        <v>29</v>
      </c>
    </row>
    <row r="3064" spans="1:2" x14ac:dyDescent="0.3">
      <c r="A3064" s="113" t="s">
        <v>46</v>
      </c>
      <c r="B3064" s="113" t="s">
        <v>29</v>
      </c>
    </row>
    <row r="3065" spans="1:2" x14ac:dyDescent="0.3">
      <c r="A3065" s="113" t="s">
        <v>46</v>
      </c>
      <c r="B3065" s="113" t="s">
        <v>29</v>
      </c>
    </row>
    <row r="3066" spans="1:2" x14ac:dyDescent="0.3">
      <c r="A3066" s="113" t="s">
        <v>39</v>
      </c>
      <c r="B3066" s="113" t="s">
        <v>29</v>
      </c>
    </row>
    <row r="3067" spans="1:2" x14ac:dyDescent="0.3">
      <c r="A3067" s="113" t="s">
        <v>76</v>
      </c>
      <c r="B3067" s="113" t="s">
        <v>17</v>
      </c>
    </row>
    <row r="3068" spans="1:2" x14ac:dyDescent="0.3">
      <c r="A3068" s="113" t="s">
        <v>67</v>
      </c>
      <c r="B3068" s="113" t="s">
        <v>17</v>
      </c>
    </row>
    <row r="3069" spans="1:2" x14ac:dyDescent="0.3">
      <c r="A3069" s="113" t="s">
        <v>74</v>
      </c>
      <c r="B3069" s="113" t="s">
        <v>17</v>
      </c>
    </row>
    <row r="3070" spans="1:2" x14ac:dyDescent="0.3">
      <c r="A3070" s="113" t="s">
        <v>67</v>
      </c>
      <c r="B3070" s="113" t="s">
        <v>17</v>
      </c>
    </row>
    <row r="3071" spans="1:2" x14ac:dyDescent="0.3">
      <c r="A3071" s="113" t="s">
        <v>69</v>
      </c>
      <c r="B3071" s="113" t="s">
        <v>17</v>
      </c>
    </row>
    <row r="3072" spans="1:2" x14ac:dyDescent="0.3">
      <c r="A3072" s="113" t="s">
        <v>69</v>
      </c>
      <c r="B3072" s="113" t="s">
        <v>17</v>
      </c>
    </row>
    <row r="3073" spans="1:2" x14ac:dyDescent="0.3">
      <c r="A3073" s="113" t="s">
        <v>31</v>
      </c>
      <c r="B3073" s="113" t="s">
        <v>121</v>
      </c>
    </row>
    <row r="3074" spans="1:2" x14ac:dyDescent="0.3">
      <c r="A3074" s="113" t="s">
        <v>24</v>
      </c>
      <c r="B3074" s="113" t="s">
        <v>17</v>
      </c>
    </row>
    <row r="3075" spans="1:2" x14ac:dyDescent="0.3">
      <c r="A3075" s="113" t="s">
        <v>45</v>
      </c>
      <c r="B3075" s="113" t="s">
        <v>121</v>
      </c>
    </row>
    <row r="3076" spans="1:2" x14ac:dyDescent="0.3">
      <c r="A3076" s="113" t="s">
        <v>43</v>
      </c>
      <c r="B3076" s="113" t="s">
        <v>29</v>
      </c>
    </row>
    <row r="3077" spans="1:2" x14ac:dyDescent="0.3">
      <c r="A3077" s="113" t="s">
        <v>72</v>
      </c>
      <c r="B3077" s="113" t="s">
        <v>17</v>
      </c>
    </row>
    <row r="3078" spans="1:2" x14ac:dyDescent="0.3">
      <c r="A3078" s="113" t="s">
        <v>18</v>
      </c>
      <c r="B3078" s="113" t="s">
        <v>115</v>
      </c>
    </row>
    <row r="3079" spans="1:2" x14ac:dyDescent="0.3">
      <c r="A3079" s="113" t="s">
        <v>87</v>
      </c>
      <c r="B3079" s="113" t="s">
        <v>17</v>
      </c>
    </row>
    <row r="3080" spans="1:2" x14ac:dyDescent="0.3">
      <c r="A3080" s="113" t="s">
        <v>30</v>
      </c>
      <c r="B3080" s="113" t="s">
        <v>17</v>
      </c>
    </row>
    <row r="3081" spans="1:2" x14ac:dyDescent="0.3">
      <c r="A3081" s="113" t="s">
        <v>81</v>
      </c>
      <c r="B3081" s="113" t="s">
        <v>126</v>
      </c>
    </row>
    <row r="3082" spans="1:2" x14ac:dyDescent="0.3">
      <c r="A3082" s="113" t="s">
        <v>59</v>
      </c>
      <c r="B3082" s="113" t="s">
        <v>17</v>
      </c>
    </row>
    <row r="3083" spans="1:2" x14ac:dyDescent="0.3">
      <c r="A3083" s="113" t="s">
        <v>77</v>
      </c>
      <c r="B3083" s="113" t="s">
        <v>17</v>
      </c>
    </row>
    <row r="3084" spans="1:2" x14ac:dyDescent="0.3">
      <c r="A3084" s="113" t="s">
        <v>3559</v>
      </c>
      <c r="B3084" s="113" t="s">
        <v>17</v>
      </c>
    </row>
    <row r="3085" spans="1:2" x14ac:dyDescent="0.3">
      <c r="A3085" s="113" t="s">
        <v>39</v>
      </c>
      <c r="B3085" s="113" t="s">
        <v>29</v>
      </c>
    </row>
    <row r="3086" spans="1:2" x14ac:dyDescent="0.3">
      <c r="A3086" s="113" t="s">
        <v>83</v>
      </c>
      <c r="B3086" s="113" t="s">
        <v>17</v>
      </c>
    </row>
    <row r="3087" spans="1:2" x14ac:dyDescent="0.3">
      <c r="A3087" s="113" t="s">
        <v>39</v>
      </c>
      <c r="B3087" s="113" t="s">
        <v>29</v>
      </c>
    </row>
    <row r="3088" spans="1:2" x14ac:dyDescent="0.3">
      <c r="A3088" s="113" t="s">
        <v>22</v>
      </c>
      <c r="B3088" s="113" t="s">
        <v>17</v>
      </c>
    </row>
    <row r="3089" spans="1:2" x14ac:dyDescent="0.3">
      <c r="A3089" s="113" t="s">
        <v>46</v>
      </c>
      <c r="B3089" s="113" t="s">
        <v>29</v>
      </c>
    </row>
    <row r="3090" spans="1:2" x14ac:dyDescent="0.3">
      <c r="A3090" s="113" t="s">
        <v>30</v>
      </c>
      <c r="B3090" s="113" t="s">
        <v>17</v>
      </c>
    </row>
    <row r="3091" spans="1:2" x14ac:dyDescent="0.3">
      <c r="A3091" s="113" t="s">
        <v>18</v>
      </c>
      <c r="B3091" s="113" t="s">
        <v>115</v>
      </c>
    </row>
    <row r="3092" spans="1:2" x14ac:dyDescent="0.3">
      <c r="A3092" s="113" t="s">
        <v>16</v>
      </c>
      <c r="B3092" s="113" t="s">
        <v>17</v>
      </c>
    </row>
    <row r="3093" spans="1:2" x14ac:dyDescent="0.3">
      <c r="A3093" s="113" t="s">
        <v>39</v>
      </c>
      <c r="B3093" s="113" t="s">
        <v>29</v>
      </c>
    </row>
    <row r="3094" spans="1:2" x14ac:dyDescent="0.3">
      <c r="A3094" s="113" t="s">
        <v>66</v>
      </c>
      <c r="B3094" s="113" t="s">
        <v>17</v>
      </c>
    </row>
    <row r="3095" spans="1:2" x14ac:dyDescent="0.3">
      <c r="A3095" s="113" t="s">
        <v>30</v>
      </c>
      <c r="B3095" s="113" t="s">
        <v>17</v>
      </c>
    </row>
    <row r="3096" spans="1:2" x14ac:dyDescent="0.3">
      <c r="A3096" s="113" t="s">
        <v>76</v>
      </c>
      <c r="B3096" s="113" t="s">
        <v>17</v>
      </c>
    </row>
    <row r="3097" spans="1:2" x14ac:dyDescent="0.3">
      <c r="A3097" s="113" t="s">
        <v>46</v>
      </c>
      <c r="B3097" s="113" t="s">
        <v>29</v>
      </c>
    </row>
    <row r="3098" spans="1:2" x14ac:dyDescent="0.3">
      <c r="A3098" s="113" t="s">
        <v>46</v>
      </c>
      <c r="B3098" s="113" t="s">
        <v>29</v>
      </c>
    </row>
    <row r="3099" spans="1:2" x14ac:dyDescent="0.3">
      <c r="A3099" s="113" t="s">
        <v>4981</v>
      </c>
      <c r="B3099" s="113" t="s">
        <v>17</v>
      </c>
    </row>
    <row r="3100" spans="1:2" x14ac:dyDescent="0.3">
      <c r="A3100" s="113" t="s">
        <v>4981</v>
      </c>
      <c r="B3100" s="113" t="s">
        <v>17</v>
      </c>
    </row>
    <row r="3101" spans="1:2" x14ac:dyDescent="0.3">
      <c r="A3101" s="113" t="s">
        <v>31</v>
      </c>
      <c r="B3101" s="113" t="s">
        <v>121</v>
      </c>
    </row>
    <row r="3102" spans="1:2" x14ac:dyDescent="0.3">
      <c r="A3102" s="113" t="s">
        <v>3665</v>
      </c>
      <c r="B3102" s="113" t="s">
        <v>121</v>
      </c>
    </row>
    <row r="3103" spans="1:2" x14ac:dyDescent="0.3">
      <c r="A3103" s="113" t="s">
        <v>18</v>
      </c>
      <c r="B3103" s="113" t="s">
        <v>115</v>
      </c>
    </row>
    <row r="3104" spans="1:2" x14ac:dyDescent="0.3">
      <c r="A3104" s="113" t="s">
        <v>73</v>
      </c>
      <c r="B3104" s="113" t="s">
        <v>17</v>
      </c>
    </row>
    <row r="3105" spans="1:2" x14ac:dyDescent="0.3">
      <c r="A3105" s="113" t="s">
        <v>18</v>
      </c>
      <c r="B3105" s="113" t="s">
        <v>115</v>
      </c>
    </row>
    <row r="3106" spans="1:2" x14ac:dyDescent="0.3">
      <c r="A3106" s="113" t="s">
        <v>4981</v>
      </c>
      <c r="B3106" s="113" t="s">
        <v>17</v>
      </c>
    </row>
    <row r="3107" spans="1:2" x14ac:dyDescent="0.3">
      <c r="A3107" s="113" t="s">
        <v>18</v>
      </c>
      <c r="B3107" s="113" t="s">
        <v>115</v>
      </c>
    </row>
    <row r="3108" spans="1:2" x14ac:dyDescent="0.3">
      <c r="A3108" s="113" t="s">
        <v>39</v>
      </c>
      <c r="B3108" s="113" t="s">
        <v>29</v>
      </c>
    </row>
    <row r="3109" spans="1:2" x14ac:dyDescent="0.3">
      <c r="A3109" s="113" t="s">
        <v>87</v>
      </c>
      <c r="B3109" s="113" t="s">
        <v>17</v>
      </c>
    </row>
    <row r="3110" spans="1:2" x14ac:dyDescent="0.3">
      <c r="A3110" s="113" t="s">
        <v>32</v>
      </c>
      <c r="B3110" s="113" t="s">
        <v>115</v>
      </c>
    </row>
    <row r="3111" spans="1:2" x14ac:dyDescent="0.3">
      <c r="A3111" s="113" t="s">
        <v>46</v>
      </c>
      <c r="B3111" s="113" t="s">
        <v>29</v>
      </c>
    </row>
    <row r="3112" spans="1:2" x14ac:dyDescent="0.3">
      <c r="A3112" s="113" t="s">
        <v>46</v>
      </c>
      <c r="B3112" s="113" t="s">
        <v>29</v>
      </c>
    </row>
    <row r="3113" spans="1:2" x14ac:dyDescent="0.3">
      <c r="A3113" s="113" t="s">
        <v>46</v>
      </c>
      <c r="B3113" s="113" t="s">
        <v>29</v>
      </c>
    </row>
    <row r="3114" spans="1:2" x14ac:dyDescent="0.3">
      <c r="A3114" s="113" t="s">
        <v>50</v>
      </c>
      <c r="B3114" s="113" t="s">
        <v>25</v>
      </c>
    </row>
    <row r="3115" spans="1:2" x14ac:dyDescent="0.3">
      <c r="A3115" s="113" t="s">
        <v>21</v>
      </c>
      <c r="B3115" s="113" t="s">
        <v>17</v>
      </c>
    </row>
    <row r="3116" spans="1:2" x14ac:dyDescent="0.3">
      <c r="A3116" s="113" t="s">
        <v>104</v>
      </c>
      <c r="B3116" s="113" t="s">
        <v>115</v>
      </c>
    </row>
    <row r="3117" spans="1:2" x14ac:dyDescent="0.3">
      <c r="A3117" s="113" t="s">
        <v>30</v>
      </c>
      <c r="B3117" s="113" t="s">
        <v>17</v>
      </c>
    </row>
    <row r="3118" spans="1:2" x14ac:dyDescent="0.3">
      <c r="A3118" s="113" t="s">
        <v>74</v>
      </c>
      <c r="B3118" s="113" t="s">
        <v>17</v>
      </c>
    </row>
    <row r="3119" spans="1:2" x14ac:dyDescent="0.3">
      <c r="A3119" s="113" t="s">
        <v>30</v>
      </c>
      <c r="B3119" s="113" t="s">
        <v>17</v>
      </c>
    </row>
    <row r="3120" spans="1:2" x14ac:dyDescent="0.3">
      <c r="A3120" s="113" t="s">
        <v>74</v>
      </c>
      <c r="B3120" s="113" t="s">
        <v>17</v>
      </c>
    </row>
    <row r="3121" spans="1:2" x14ac:dyDescent="0.3">
      <c r="A3121" s="113" t="s">
        <v>18</v>
      </c>
      <c r="B3121" s="113" t="s">
        <v>115</v>
      </c>
    </row>
    <row r="3122" spans="1:2" x14ac:dyDescent="0.3">
      <c r="A3122" s="113" t="s">
        <v>18</v>
      </c>
      <c r="B3122" s="113" t="s">
        <v>115</v>
      </c>
    </row>
    <row r="3123" spans="1:2" x14ac:dyDescent="0.3">
      <c r="A3123" s="113" t="s">
        <v>44</v>
      </c>
      <c r="B3123" s="113" t="s">
        <v>115</v>
      </c>
    </row>
    <row r="3124" spans="1:2" x14ac:dyDescent="0.3">
      <c r="A3124" s="113" t="s">
        <v>37</v>
      </c>
      <c r="B3124" s="113" t="s">
        <v>115</v>
      </c>
    </row>
    <row r="3125" spans="1:2" x14ac:dyDescent="0.3">
      <c r="A3125" s="113" t="s">
        <v>30</v>
      </c>
      <c r="B3125" s="113" t="s">
        <v>17</v>
      </c>
    </row>
    <row r="3126" spans="1:2" x14ac:dyDescent="0.3">
      <c r="A3126" s="113" t="s">
        <v>77</v>
      </c>
      <c r="B3126" s="113" t="s">
        <v>17</v>
      </c>
    </row>
    <row r="3127" spans="1:2" x14ac:dyDescent="0.3">
      <c r="A3127" s="113" t="s">
        <v>104</v>
      </c>
      <c r="B3127" s="113" t="s">
        <v>115</v>
      </c>
    </row>
    <row r="3128" spans="1:2" x14ac:dyDescent="0.3">
      <c r="A3128" s="113" t="s">
        <v>18</v>
      </c>
      <c r="B3128" s="113" t="s">
        <v>115</v>
      </c>
    </row>
    <row r="3129" spans="1:2" x14ac:dyDescent="0.3">
      <c r="A3129" s="113" t="s">
        <v>104</v>
      </c>
      <c r="B3129" s="113" t="s">
        <v>115</v>
      </c>
    </row>
    <row r="3130" spans="1:2" x14ac:dyDescent="0.3">
      <c r="A3130" s="113" t="s">
        <v>22</v>
      </c>
      <c r="B3130" s="113" t="s">
        <v>17</v>
      </c>
    </row>
    <row r="3131" spans="1:2" x14ac:dyDescent="0.3">
      <c r="A3131" s="113" t="s">
        <v>30</v>
      </c>
      <c r="B3131" s="113" t="s">
        <v>17</v>
      </c>
    </row>
    <row r="3132" spans="1:2" x14ac:dyDescent="0.3">
      <c r="A3132" s="113" t="s">
        <v>46</v>
      </c>
      <c r="B3132" s="113" t="s">
        <v>29</v>
      </c>
    </row>
    <row r="3133" spans="1:2" x14ac:dyDescent="0.3">
      <c r="A3133" s="113" t="s">
        <v>46</v>
      </c>
      <c r="B3133" s="113" t="s">
        <v>29</v>
      </c>
    </row>
    <row r="3134" spans="1:2" x14ac:dyDescent="0.3">
      <c r="A3134" s="113" t="s">
        <v>39</v>
      </c>
      <c r="B3134" s="113" t="s">
        <v>29</v>
      </c>
    </row>
    <row r="3135" spans="1:2" x14ac:dyDescent="0.3">
      <c r="A3135" s="113" t="s">
        <v>30</v>
      </c>
      <c r="B3135" s="113" t="s">
        <v>17</v>
      </c>
    </row>
    <row r="3136" spans="1:2" x14ac:dyDescent="0.3">
      <c r="A3136" s="113" t="s">
        <v>44</v>
      </c>
      <c r="B3136" s="113" t="s">
        <v>115</v>
      </c>
    </row>
    <row r="3137" spans="1:2" x14ac:dyDescent="0.3">
      <c r="A3137" s="113" t="s">
        <v>44</v>
      </c>
      <c r="B3137" s="113" t="s">
        <v>115</v>
      </c>
    </row>
    <row r="3138" spans="1:2" x14ac:dyDescent="0.3">
      <c r="A3138" s="113" t="s">
        <v>44</v>
      </c>
      <c r="B3138" s="113" t="s">
        <v>115</v>
      </c>
    </row>
    <row r="3139" spans="1:2" x14ac:dyDescent="0.3">
      <c r="A3139" s="113" t="s">
        <v>44</v>
      </c>
      <c r="B3139" s="113" t="s">
        <v>115</v>
      </c>
    </row>
    <row r="3140" spans="1:2" x14ac:dyDescent="0.3">
      <c r="A3140" s="113" t="s">
        <v>30</v>
      </c>
      <c r="B3140" s="113" t="s">
        <v>17</v>
      </c>
    </row>
    <row r="3141" spans="1:2" x14ac:dyDescent="0.3">
      <c r="A3141" s="113" t="s">
        <v>5051</v>
      </c>
      <c r="B3141" s="113" t="s">
        <v>17</v>
      </c>
    </row>
    <row r="3142" spans="1:2" x14ac:dyDescent="0.3">
      <c r="A3142" s="113" t="s">
        <v>85</v>
      </c>
      <c r="B3142" s="113" t="s">
        <v>17</v>
      </c>
    </row>
    <row r="3143" spans="1:2" x14ac:dyDescent="0.3">
      <c r="A3143" s="113" t="s">
        <v>57</v>
      </c>
      <c r="B3143" s="113" t="s">
        <v>17</v>
      </c>
    </row>
    <row r="3144" spans="1:2" x14ac:dyDescent="0.3">
      <c r="A3144" s="113" t="s">
        <v>30</v>
      </c>
      <c r="B3144" s="113" t="s">
        <v>17</v>
      </c>
    </row>
    <row r="3145" spans="1:2" x14ac:dyDescent="0.3">
      <c r="A3145" s="113" t="s">
        <v>81</v>
      </c>
      <c r="B3145" s="113" t="s">
        <v>126</v>
      </c>
    </row>
    <row r="3146" spans="1:2" x14ac:dyDescent="0.3">
      <c r="A3146" s="113" t="s">
        <v>18</v>
      </c>
      <c r="B3146" s="113" t="s">
        <v>115</v>
      </c>
    </row>
    <row r="3147" spans="1:2" x14ac:dyDescent="0.3">
      <c r="A3147" s="113" t="s">
        <v>3665</v>
      </c>
      <c r="B3147" s="113" t="s">
        <v>121</v>
      </c>
    </row>
    <row r="3148" spans="1:2" x14ac:dyDescent="0.3">
      <c r="A3148" s="113" t="s">
        <v>44</v>
      </c>
      <c r="B3148" s="113" t="s">
        <v>115</v>
      </c>
    </row>
    <row r="3149" spans="1:2" x14ac:dyDescent="0.3">
      <c r="A3149" s="113" t="s">
        <v>18</v>
      </c>
      <c r="B3149" s="113" t="s">
        <v>115</v>
      </c>
    </row>
    <row r="3150" spans="1:2" x14ac:dyDescent="0.3">
      <c r="A3150" s="113" t="s">
        <v>39</v>
      </c>
      <c r="B3150" s="113" t="s">
        <v>29</v>
      </c>
    </row>
    <row r="3151" spans="1:2" x14ac:dyDescent="0.3">
      <c r="A3151" s="113" t="s">
        <v>39</v>
      </c>
      <c r="B3151" s="113" t="s">
        <v>29</v>
      </c>
    </row>
    <row r="3152" spans="1:2" x14ac:dyDescent="0.3">
      <c r="A3152" s="113" t="s">
        <v>46</v>
      </c>
      <c r="B3152" s="113" t="s">
        <v>29</v>
      </c>
    </row>
    <row r="3153" spans="1:2" x14ac:dyDescent="0.3">
      <c r="A3153" s="113" t="s">
        <v>46</v>
      </c>
      <c r="B3153" s="113" t="s">
        <v>29</v>
      </c>
    </row>
    <row r="3154" spans="1:2" x14ac:dyDescent="0.3">
      <c r="A3154" s="113" t="s">
        <v>46</v>
      </c>
      <c r="B3154" s="113" t="s">
        <v>29</v>
      </c>
    </row>
    <row r="3155" spans="1:2" x14ac:dyDescent="0.3">
      <c r="A3155" s="113" t="s">
        <v>44</v>
      </c>
      <c r="B3155" s="113" t="s">
        <v>115</v>
      </c>
    </row>
    <row r="3156" spans="1:2" x14ac:dyDescent="0.3">
      <c r="A3156" s="113" t="s">
        <v>44</v>
      </c>
      <c r="B3156" s="113" t="s">
        <v>115</v>
      </c>
    </row>
    <row r="3157" spans="1:2" x14ac:dyDescent="0.3">
      <c r="A3157" s="113" t="s">
        <v>44</v>
      </c>
      <c r="B3157" s="113" t="s">
        <v>115</v>
      </c>
    </row>
    <row r="3158" spans="1:2" x14ac:dyDescent="0.3">
      <c r="A3158" s="113" t="s">
        <v>30</v>
      </c>
      <c r="B3158" s="113" t="s">
        <v>17</v>
      </c>
    </row>
    <row r="3159" spans="1:2" x14ac:dyDescent="0.3">
      <c r="A3159" s="113" t="s">
        <v>30</v>
      </c>
      <c r="B3159" s="113" t="s">
        <v>17</v>
      </c>
    </row>
    <row r="3160" spans="1:2" x14ac:dyDescent="0.3">
      <c r="A3160" s="113" t="s">
        <v>77</v>
      </c>
      <c r="B3160" s="113" t="s">
        <v>17</v>
      </c>
    </row>
    <row r="3161" spans="1:2" x14ac:dyDescent="0.3">
      <c r="A3161" s="113" t="s">
        <v>3559</v>
      </c>
      <c r="B3161" s="113" t="s">
        <v>17</v>
      </c>
    </row>
    <row r="3162" spans="1:2" x14ac:dyDescent="0.3">
      <c r="A3162" s="113" t="s">
        <v>50</v>
      </c>
      <c r="B3162" s="113" t="s">
        <v>25</v>
      </c>
    </row>
    <row r="3163" spans="1:2" x14ac:dyDescent="0.3">
      <c r="A3163" s="113" t="s">
        <v>39</v>
      </c>
      <c r="B3163" s="113" t="s">
        <v>29</v>
      </c>
    </row>
    <row r="3164" spans="1:2" x14ac:dyDescent="0.3">
      <c r="A3164" s="113" t="s">
        <v>46</v>
      </c>
      <c r="B3164" s="113" t="s">
        <v>29</v>
      </c>
    </row>
    <row r="3165" spans="1:2" x14ac:dyDescent="0.3">
      <c r="A3165" s="113" t="s">
        <v>46</v>
      </c>
      <c r="B3165" s="113" t="s">
        <v>29</v>
      </c>
    </row>
    <row r="3166" spans="1:2" x14ac:dyDescent="0.3">
      <c r="A3166" s="113" t="s">
        <v>46</v>
      </c>
      <c r="B3166" s="113" t="s">
        <v>29</v>
      </c>
    </row>
    <row r="3167" spans="1:2" x14ac:dyDescent="0.3">
      <c r="A3167" s="113" t="s">
        <v>41</v>
      </c>
      <c r="B3167" s="113" t="s">
        <v>17</v>
      </c>
    </row>
    <row r="3168" spans="1:2" x14ac:dyDescent="0.3">
      <c r="A3168" s="113" t="s">
        <v>66</v>
      </c>
      <c r="B3168" s="113" t="s">
        <v>17</v>
      </c>
    </row>
    <row r="3169" spans="1:2" x14ac:dyDescent="0.3">
      <c r="A3169" s="113" t="s">
        <v>30</v>
      </c>
      <c r="B3169" s="113" t="s">
        <v>17</v>
      </c>
    </row>
    <row r="3170" spans="1:2" x14ac:dyDescent="0.3">
      <c r="A3170" s="113" t="s">
        <v>73</v>
      </c>
      <c r="B3170" s="113" t="s">
        <v>17</v>
      </c>
    </row>
    <row r="3171" spans="1:2" x14ac:dyDescent="0.3">
      <c r="A3171" s="113" t="s">
        <v>39</v>
      </c>
      <c r="B3171" s="113" t="s">
        <v>29</v>
      </c>
    </row>
    <row r="3172" spans="1:2" x14ac:dyDescent="0.3">
      <c r="A3172" s="113" t="s">
        <v>3665</v>
      </c>
      <c r="B3172" s="113" t="s">
        <v>121</v>
      </c>
    </row>
    <row r="3173" spans="1:2" x14ac:dyDescent="0.3">
      <c r="A3173" s="113" t="s">
        <v>36</v>
      </c>
      <c r="B3173" s="113" t="s">
        <v>17</v>
      </c>
    </row>
    <row r="3174" spans="1:2" x14ac:dyDescent="0.3">
      <c r="A3174" s="113" t="s">
        <v>18</v>
      </c>
      <c r="B3174" s="113" t="s">
        <v>115</v>
      </c>
    </row>
    <row r="3175" spans="1:2" x14ac:dyDescent="0.3">
      <c r="A3175" s="113" t="s">
        <v>30</v>
      </c>
      <c r="B3175" s="113" t="s">
        <v>17</v>
      </c>
    </row>
    <row r="3176" spans="1:2" x14ac:dyDescent="0.3">
      <c r="A3176" s="113" t="s">
        <v>46</v>
      </c>
      <c r="B3176" s="113" t="s">
        <v>29</v>
      </c>
    </row>
    <row r="3177" spans="1:2" x14ac:dyDescent="0.3">
      <c r="A3177" s="113" t="s">
        <v>46</v>
      </c>
      <c r="B3177" s="113" t="s">
        <v>29</v>
      </c>
    </row>
    <row r="3178" spans="1:2" x14ac:dyDescent="0.3">
      <c r="A3178" s="113" t="s">
        <v>39</v>
      </c>
      <c r="B3178" s="113" t="s">
        <v>29</v>
      </c>
    </row>
    <row r="3179" spans="1:2" x14ac:dyDescent="0.3">
      <c r="A3179" s="113" t="s">
        <v>90</v>
      </c>
      <c r="B3179" s="113" t="s">
        <v>29</v>
      </c>
    </row>
    <row r="3180" spans="1:2" x14ac:dyDescent="0.3">
      <c r="A3180" s="113" t="s">
        <v>30</v>
      </c>
      <c r="B3180" s="113" t="s">
        <v>17</v>
      </c>
    </row>
    <row r="3181" spans="1:2" x14ac:dyDescent="0.3">
      <c r="A3181" s="113" t="s">
        <v>18</v>
      </c>
      <c r="B3181" s="113" t="s">
        <v>115</v>
      </c>
    </row>
    <row r="3182" spans="1:2" x14ac:dyDescent="0.3">
      <c r="A3182" s="113" t="s">
        <v>5111</v>
      </c>
      <c r="B3182" s="113" t="s">
        <v>17</v>
      </c>
    </row>
    <row r="3183" spans="1:2" x14ac:dyDescent="0.3">
      <c r="A3183" s="113" t="s">
        <v>103</v>
      </c>
      <c r="B3183" s="113" t="s">
        <v>17</v>
      </c>
    </row>
    <row r="3184" spans="1:2" x14ac:dyDescent="0.3">
      <c r="A3184" s="113" t="s">
        <v>44</v>
      </c>
      <c r="B3184" s="113" t="s">
        <v>115</v>
      </c>
    </row>
    <row r="3185" spans="1:2" x14ac:dyDescent="0.3">
      <c r="A3185" s="113" t="s">
        <v>30</v>
      </c>
      <c r="B3185" s="113" t="s">
        <v>17</v>
      </c>
    </row>
    <row r="3186" spans="1:2" x14ac:dyDescent="0.3">
      <c r="A3186" s="113" t="s">
        <v>39</v>
      </c>
      <c r="B3186" s="113" t="s">
        <v>29</v>
      </c>
    </row>
    <row r="3187" spans="1:2" x14ac:dyDescent="0.3">
      <c r="A3187" s="113" t="s">
        <v>46</v>
      </c>
      <c r="B3187" s="113" t="s">
        <v>29</v>
      </c>
    </row>
    <row r="3188" spans="1:2" x14ac:dyDescent="0.3">
      <c r="A3188" s="113" t="s">
        <v>66</v>
      </c>
      <c r="B3188" s="113" t="s">
        <v>17</v>
      </c>
    </row>
    <row r="3189" spans="1:2" x14ac:dyDescent="0.3">
      <c r="A3189" s="113" t="s">
        <v>66</v>
      </c>
      <c r="B3189" s="113" t="s">
        <v>17</v>
      </c>
    </row>
    <row r="3190" spans="1:2" x14ac:dyDescent="0.3">
      <c r="A3190" s="113" t="s">
        <v>66</v>
      </c>
      <c r="B3190" s="113" t="s">
        <v>17</v>
      </c>
    </row>
    <row r="3191" spans="1:2" x14ac:dyDescent="0.3">
      <c r="A3191" s="113" t="s">
        <v>30</v>
      </c>
      <c r="B3191" s="113" t="s">
        <v>17</v>
      </c>
    </row>
    <row r="3192" spans="1:2" x14ac:dyDescent="0.3">
      <c r="A3192" s="113" t="s">
        <v>30</v>
      </c>
      <c r="B3192" s="113" t="s">
        <v>17</v>
      </c>
    </row>
    <row r="3193" spans="1:2" x14ac:dyDescent="0.3">
      <c r="A3193" s="113" t="s">
        <v>30</v>
      </c>
      <c r="B3193" s="113" t="s">
        <v>17</v>
      </c>
    </row>
    <row r="3194" spans="1:2" x14ac:dyDescent="0.3">
      <c r="A3194" s="113" t="s">
        <v>18</v>
      </c>
      <c r="B3194" s="113" t="s">
        <v>115</v>
      </c>
    </row>
    <row r="3195" spans="1:2" x14ac:dyDescent="0.3">
      <c r="A3195" s="113" t="s">
        <v>30</v>
      </c>
      <c r="B3195" s="113" t="s">
        <v>17</v>
      </c>
    </row>
    <row r="3196" spans="1:2" x14ac:dyDescent="0.3">
      <c r="A3196" s="113" t="s">
        <v>30</v>
      </c>
      <c r="B3196" s="113" t="s">
        <v>17</v>
      </c>
    </row>
    <row r="3197" spans="1:2" x14ac:dyDescent="0.3">
      <c r="A3197" s="113" t="s">
        <v>66</v>
      </c>
      <c r="B3197" s="113" t="s">
        <v>17</v>
      </c>
    </row>
    <row r="3198" spans="1:2" x14ac:dyDescent="0.3">
      <c r="A3198" s="113" t="s">
        <v>72</v>
      </c>
      <c r="B3198" s="113" t="s">
        <v>17</v>
      </c>
    </row>
    <row r="3199" spans="1:2" x14ac:dyDescent="0.3">
      <c r="A3199" s="113" t="s">
        <v>30</v>
      </c>
      <c r="B3199" s="113" t="s">
        <v>17</v>
      </c>
    </row>
    <row r="3200" spans="1:2" x14ac:dyDescent="0.3">
      <c r="A3200" s="113" t="s">
        <v>66</v>
      </c>
      <c r="B3200" s="113" t="s">
        <v>17</v>
      </c>
    </row>
    <row r="3201" spans="1:2" x14ac:dyDescent="0.3">
      <c r="A3201" s="113" t="s">
        <v>30</v>
      </c>
      <c r="B3201" s="113" t="s">
        <v>17</v>
      </c>
    </row>
    <row r="3202" spans="1:2" x14ac:dyDescent="0.3">
      <c r="A3202" s="113" t="s">
        <v>30</v>
      </c>
      <c r="B3202" s="113" t="s">
        <v>17</v>
      </c>
    </row>
    <row r="3203" spans="1:2" x14ac:dyDescent="0.3">
      <c r="A3203" s="113" t="s">
        <v>30</v>
      </c>
      <c r="B3203" s="113" t="s">
        <v>17</v>
      </c>
    </row>
    <row r="3204" spans="1:2" x14ac:dyDescent="0.3">
      <c r="A3204" s="113" t="s">
        <v>30</v>
      </c>
      <c r="B3204" s="113" t="s">
        <v>17</v>
      </c>
    </row>
    <row r="3205" spans="1:2" x14ac:dyDescent="0.3">
      <c r="A3205" s="113" t="s">
        <v>30</v>
      </c>
      <c r="B3205" s="113" t="s">
        <v>17</v>
      </c>
    </row>
    <row r="3206" spans="1:2" x14ac:dyDescent="0.3">
      <c r="A3206" s="113" t="s">
        <v>18</v>
      </c>
      <c r="B3206" s="113" t="s">
        <v>115</v>
      </c>
    </row>
    <row r="3207" spans="1:2" x14ac:dyDescent="0.3">
      <c r="A3207" s="113" t="s">
        <v>30</v>
      </c>
      <c r="B3207" s="113" t="s">
        <v>17</v>
      </c>
    </row>
    <row r="3208" spans="1:2" x14ac:dyDescent="0.3">
      <c r="A3208" s="113" t="s">
        <v>83</v>
      </c>
      <c r="B3208" s="113" t="s">
        <v>17</v>
      </c>
    </row>
    <row r="3209" spans="1:2" x14ac:dyDescent="0.3">
      <c r="A3209" s="113" t="s">
        <v>82</v>
      </c>
      <c r="B3209" s="113" t="s">
        <v>17</v>
      </c>
    </row>
    <row r="3210" spans="1:2" x14ac:dyDescent="0.3">
      <c r="A3210" s="113" t="s">
        <v>43</v>
      </c>
      <c r="B3210" s="113" t="s">
        <v>29</v>
      </c>
    </row>
    <row r="3211" spans="1:2" x14ac:dyDescent="0.3">
      <c r="A3211" s="113" t="s">
        <v>82</v>
      </c>
      <c r="B3211" s="113" t="s">
        <v>17</v>
      </c>
    </row>
    <row r="3212" spans="1:2" x14ac:dyDescent="0.3">
      <c r="A3212" s="113" t="s">
        <v>82</v>
      </c>
      <c r="B3212" s="113" t="s">
        <v>17</v>
      </c>
    </row>
    <row r="3213" spans="1:2" x14ac:dyDescent="0.3">
      <c r="A3213" s="113" t="s">
        <v>30</v>
      </c>
      <c r="B3213" s="113" t="s">
        <v>17</v>
      </c>
    </row>
    <row r="3214" spans="1:2" x14ac:dyDescent="0.3">
      <c r="A3214" s="113" t="s">
        <v>26</v>
      </c>
      <c r="B3214" s="113" t="s">
        <v>127</v>
      </c>
    </row>
    <row r="3215" spans="1:2" x14ac:dyDescent="0.3">
      <c r="A3215" s="113" t="s">
        <v>18</v>
      </c>
      <c r="B3215" s="113" t="s">
        <v>115</v>
      </c>
    </row>
    <row r="3216" spans="1:2" x14ac:dyDescent="0.3">
      <c r="A3216" s="113" t="s">
        <v>46</v>
      </c>
      <c r="B3216" s="113" t="s">
        <v>29</v>
      </c>
    </row>
    <row r="3217" spans="1:2" x14ac:dyDescent="0.3">
      <c r="A3217" s="113" t="s">
        <v>83</v>
      </c>
      <c r="B3217" s="113" t="s">
        <v>17</v>
      </c>
    </row>
    <row r="3218" spans="1:2" x14ac:dyDescent="0.3">
      <c r="A3218" s="113" t="s">
        <v>76</v>
      </c>
      <c r="B3218" s="113" t="s">
        <v>17</v>
      </c>
    </row>
    <row r="3219" spans="1:2" x14ac:dyDescent="0.3">
      <c r="A3219" s="113" t="s">
        <v>43</v>
      </c>
      <c r="B3219" s="113" t="s">
        <v>29</v>
      </c>
    </row>
    <row r="3220" spans="1:2" x14ac:dyDescent="0.3">
      <c r="A3220" s="113" t="s">
        <v>46</v>
      </c>
      <c r="B3220" s="113" t="s">
        <v>29</v>
      </c>
    </row>
    <row r="3221" spans="1:2" x14ac:dyDescent="0.3">
      <c r="A3221" s="113" t="s">
        <v>46</v>
      </c>
      <c r="B3221" s="113" t="s">
        <v>29</v>
      </c>
    </row>
    <row r="3222" spans="1:2" x14ac:dyDescent="0.3">
      <c r="A3222" s="113" t="s">
        <v>46</v>
      </c>
      <c r="B3222" s="113" t="s">
        <v>29</v>
      </c>
    </row>
    <row r="3223" spans="1:2" x14ac:dyDescent="0.3">
      <c r="A3223" s="113" t="s">
        <v>46</v>
      </c>
      <c r="B3223" s="113" t="s">
        <v>29</v>
      </c>
    </row>
    <row r="3224" spans="1:2" x14ac:dyDescent="0.3">
      <c r="A3224" s="113" t="s">
        <v>18</v>
      </c>
      <c r="B3224" s="113" t="s">
        <v>115</v>
      </c>
    </row>
    <row r="3225" spans="1:2" x14ac:dyDescent="0.3">
      <c r="A3225" s="113" t="s">
        <v>36</v>
      </c>
      <c r="B3225" s="113" t="s">
        <v>17</v>
      </c>
    </row>
    <row r="3226" spans="1:2" x14ac:dyDescent="0.3">
      <c r="A3226" s="113" t="s">
        <v>39</v>
      </c>
      <c r="B3226" s="113" t="s">
        <v>29</v>
      </c>
    </row>
    <row r="3227" spans="1:2" x14ac:dyDescent="0.3">
      <c r="A3227" s="113" t="s">
        <v>46</v>
      </c>
      <c r="B3227" s="113" t="s">
        <v>29</v>
      </c>
    </row>
    <row r="3228" spans="1:2" x14ac:dyDescent="0.3">
      <c r="A3228" s="113" t="s">
        <v>44</v>
      </c>
      <c r="B3228" s="113" t="s">
        <v>115</v>
      </c>
    </row>
    <row r="3229" spans="1:2" x14ac:dyDescent="0.3">
      <c r="A3229" s="113" t="s">
        <v>77</v>
      </c>
      <c r="B3229" s="113" t="s">
        <v>17</v>
      </c>
    </row>
    <row r="3230" spans="1:2" x14ac:dyDescent="0.3">
      <c r="A3230" s="113" t="s">
        <v>31</v>
      </c>
      <c r="B3230" s="113" t="s">
        <v>121</v>
      </c>
    </row>
    <row r="3231" spans="1:2" x14ac:dyDescent="0.3">
      <c r="A3231" s="113" t="s">
        <v>66</v>
      </c>
      <c r="B3231" s="113" t="s">
        <v>17</v>
      </c>
    </row>
    <row r="3232" spans="1:2" x14ac:dyDescent="0.3">
      <c r="A3232" s="113" t="s">
        <v>18</v>
      </c>
      <c r="B3232" s="113" t="s">
        <v>115</v>
      </c>
    </row>
    <row r="3233" spans="1:2" x14ac:dyDescent="0.3">
      <c r="A3233" s="113" t="s">
        <v>30</v>
      </c>
      <c r="B3233" s="113" t="s">
        <v>17</v>
      </c>
    </row>
    <row r="3234" spans="1:2" x14ac:dyDescent="0.3">
      <c r="A3234" s="113" t="s">
        <v>50</v>
      </c>
      <c r="B3234" s="113" t="s">
        <v>25</v>
      </c>
    </row>
    <row r="3235" spans="1:2" x14ac:dyDescent="0.3">
      <c r="A3235" s="113" t="s">
        <v>16</v>
      </c>
      <c r="B3235" s="113" t="s">
        <v>17</v>
      </c>
    </row>
    <row r="3236" spans="1:2" x14ac:dyDescent="0.3">
      <c r="A3236" s="113" t="s">
        <v>46</v>
      </c>
      <c r="B3236" s="113" t="s">
        <v>29</v>
      </c>
    </row>
    <row r="3237" spans="1:2" x14ac:dyDescent="0.3">
      <c r="A3237" s="113" t="s">
        <v>87</v>
      </c>
      <c r="B3237" s="113" t="s">
        <v>17</v>
      </c>
    </row>
    <row r="3238" spans="1:2" x14ac:dyDescent="0.3">
      <c r="A3238" s="113" t="s">
        <v>66</v>
      </c>
      <c r="B3238" s="113" t="s">
        <v>17</v>
      </c>
    </row>
    <row r="3239" spans="1:2" x14ac:dyDescent="0.3">
      <c r="A3239" s="113" t="s">
        <v>22</v>
      </c>
      <c r="B3239" s="113" t="s">
        <v>17</v>
      </c>
    </row>
    <row r="3240" spans="1:2" x14ac:dyDescent="0.3">
      <c r="A3240" s="113" t="s">
        <v>26</v>
      </c>
      <c r="B3240" s="113" t="s">
        <v>127</v>
      </c>
    </row>
    <row r="3241" spans="1:2" x14ac:dyDescent="0.3">
      <c r="A3241" s="113" t="s">
        <v>85</v>
      </c>
      <c r="B3241" s="113" t="s">
        <v>17</v>
      </c>
    </row>
    <row r="3242" spans="1:2" x14ac:dyDescent="0.3">
      <c r="A3242" s="113" t="s">
        <v>18</v>
      </c>
      <c r="B3242" s="113" t="s">
        <v>115</v>
      </c>
    </row>
    <row r="3243" spans="1:2" x14ac:dyDescent="0.3">
      <c r="A3243" s="113" t="s">
        <v>30</v>
      </c>
      <c r="B3243" s="113" t="s">
        <v>17</v>
      </c>
    </row>
    <row r="3244" spans="1:2" x14ac:dyDescent="0.3">
      <c r="A3244" s="113" t="s">
        <v>35</v>
      </c>
      <c r="B3244" s="113" t="s">
        <v>17</v>
      </c>
    </row>
    <row r="3245" spans="1:2" x14ac:dyDescent="0.3">
      <c r="A3245" s="113" t="s">
        <v>26</v>
      </c>
      <c r="B3245" s="113" t="s">
        <v>127</v>
      </c>
    </row>
    <row r="3246" spans="1:2" x14ac:dyDescent="0.3">
      <c r="A3246" s="113" t="s">
        <v>39</v>
      </c>
      <c r="B3246" s="113" t="s">
        <v>29</v>
      </c>
    </row>
    <row r="3247" spans="1:2" x14ac:dyDescent="0.3">
      <c r="A3247" s="113" t="s">
        <v>46</v>
      </c>
      <c r="B3247" s="113" t="s">
        <v>29</v>
      </c>
    </row>
    <row r="3248" spans="1:2" x14ac:dyDescent="0.3">
      <c r="A3248" s="113" t="s">
        <v>46</v>
      </c>
      <c r="B3248" s="113" t="s">
        <v>29</v>
      </c>
    </row>
    <row r="3249" spans="1:2" x14ac:dyDescent="0.3">
      <c r="A3249" s="113" t="s">
        <v>46</v>
      </c>
      <c r="B3249" s="113" t="s">
        <v>29</v>
      </c>
    </row>
    <row r="3250" spans="1:2" x14ac:dyDescent="0.3">
      <c r="A3250" s="113" t="s">
        <v>46</v>
      </c>
      <c r="B3250" s="113" t="s">
        <v>29</v>
      </c>
    </row>
    <row r="3251" spans="1:2" x14ac:dyDescent="0.3">
      <c r="A3251" s="113" t="s">
        <v>14</v>
      </c>
      <c r="B3251" s="113" t="s">
        <v>15</v>
      </c>
    </row>
    <row r="3252" spans="1:2" x14ac:dyDescent="0.3">
      <c r="A3252" s="113" t="s">
        <v>87</v>
      </c>
      <c r="B3252" s="113" t="s">
        <v>17</v>
      </c>
    </row>
    <row r="3253" spans="1:2" x14ac:dyDescent="0.3">
      <c r="A3253" s="113" t="s">
        <v>30</v>
      </c>
      <c r="B3253" s="113" t="s">
        <v>17</v>
      </c>
    </row>
    <row r="3254" spans="1:2" x14ac:dyDescent="0.3">
      <c r="A3254" s="113" t="s">
        <v>18</v>
      </c>
      <c r="B3254" s="113" t="s">
        <v>115</v>
      </c>
    </row>
    <row r="3255" spans="1:2" x14ac:dyDescent="0.3">
      <c r="A3255" s="113" t="s">
        <v>56</v>
      </c>
      <c r="B3255" s="113" t="s">
        <v>17</v>
      </c>
    </row>
    <row r="3256" spans="1:2" x14ac:dyDescent="0.3">
      <c r="A3256" s="113" t="s">
        <v>39</v>
      </c>
      <c r="B3256" s="113" t="s">
        <v>29</v>
      </c>
    </row>
    <row r="3257" spans="1:2" x14ac:dyDescent="0.3">
      <c r="A3257" s="113" t="s">
        <v>46</v>
      </c>
      <c r="B3257" s="113" t="s">
        <v>29</v>
      </c>
    </row>
    <row r="3258" spans="1:2" x14ac:dyDescent="0.3">
      <c r="A3258" s="113" t="s">
        <v>73</v>
      </c>
      <c r="B3258" s="113" t="s">
        <v>17</v>
      </c>
    </row>
    <row r="3259" spans="1:2" x14ac:dyDescent="0.3">
      <c r="A3259" s="113" t="s">
        <v>3559</v>
      </c>
      <c r="B3259" s="113" t="s">
        <v>17</v>
      </c>
    </row>
    <row r="3260" spans="1:2" x14ac:dyDescent="0.3">
      <c r="A3260" s="113" t="s">
        <v>35</v>
      </c>
      <c r="B3260" s="113" t="s">
        <v>17</v>
      </c>
    </row>
    <row r="3261" spans="1:2" x14ac:dyDescent="0.3">
      <c r="A3261" s="113" t="s">
        <v>18</v>
      </c>
      <c r="B3261" s="113" t="s">
        <v>115</v>
      </c>
    </row>
    <row r="3262" spans="1:2" x14ac:dyDescent="0.3">
      <c r="A3262" s="113" t="s">
        <v>73</v>
      </c>
      <c r="B3262" s="113" t="s">
        <v>17</v>
      </c>
    </row>
    <row r="3263" spans="1:2" x14ac:dyDescent="0.3">
      <c r="A3263" s="113" t="s">
        <v>42</v>
      </c>
      <c r="B3263" s="113" t="s">
        <v>121</v>
      </c>
    </row>
    <row r="3264" spans="1:2" x14ac:dyDescent="0.3">
      <c r="A3264" s="113" t="s">
        <v>30</v>
      </c>
      <c r="B3264" s="113" t="s">
        <v>17</v>
      </c>
    </row>
    <row r="3265" spans="1:2" x14ac:dyDescent="0.3">
      <c r="A3265" s="113" t="s">
        <v>46</v>
      </c>
      <c r="B3265" s="113" t="s">
        <v>29</v>
      </c>
    </row>
    <row r="3266" spans="1:2" x14ac:dyDescent="0.3">
      <c r="A3266" s="113" t="s">
        <v>46</v>
      </c>
      <c r="B3266" s="113" t="s">
        <v>29</v>
      </c>
    </row>
    <row r="3267" spans="1:2" x14ac:dyDescent="0.3">
      <c r="A3267" s="113" t="s">
        <v>68</v>
      </c>
      <c r="B3267" s="113" t="s">
        <v>17</v>
      </c>
    </row>
    <row r="3268" spans="1:2" x14ac:dyDescent="0.3">
      <c r="A3268" s="113" t="s">
        <v>3665</v>
      </c>
      <c r="B3268" s="113" t="s">
        <v>121</v>
      </c>
    </row>
    <row r="3269" spans="1:2" x14ac:dyDescent="0.3">
      <c r="A3269" s="113" t="s">
        <v>18</v>
      </c>
      <c r="B3269" s="113" t="s">
        <v>115</v>
      </c>
    </row>
    <row r="3270" spans="1:2" x14ac:dyDescent="0.3">
      <c r="A3270" s="113" t="s">
        <v>46</v>
      </c>
      <c r="B3270" s="113" t="s">
        <v>29</v>
      </c>
    </row>
    <row r="3271" spans="1:2" x14ac:dyDescent="0.3">
      <c r="A3271" s="113" t="s">
        <v>39</v>
      </c>
      <c r="B3271" s="113" t="s">
        <v>29</v>
      </c>
    </row>
    <row r="3272" spans="1:2" x14ac:dyDescent="0.3">
      <c r="A3272" s="113" t="s">
        <v>46</v>
      </c>
      <c r="B3272" s="113" t="s">
        <v>29</v>
      </c>
    </row>
    <row r="3273" spans="1:2" x14ac:dyDescent="0.3">
      <c r="A3273" s="113" t="s">
        <v>50</v>
      </c>
      <c r="B3273" s="113" t="s">
        <v>25</v>
      </c>
    </row>
    <row r="3274" spans="1:2" x14ac:dyDescent="0.3">
      <c r="A3274" s="113" t="s">
        <v>77</v>
      </c>
      <c r="B3274" s="113" t="s">
        <v>17</v>
      </c>
    </row>
    <row r="3275" spans="1:2" x14ac:dyDescent="0.3">
      <c r="A3275" s="113" t="s">
        <v>18</v>
      </c>
      <c r="B3275" s="113" t="s">
        <v>115</v>
      </c>
    </row>
    <row r="3276" spans="1:2" x14ac:dyDescent="0.3">
      <c r="A3276" s="113" t="s">
        <v>39</v>
      </c>
      <c r="B3276" s="113" t="s">
        <v>29</v>
      </c>
    </row>
    <row r="3277" spans="1:2" x14ac:dyDescent="0.3">
      <c r="A3277" s="113" t="s">
        <v>30</v>
      </c>
      <c r="B3277" s="113" t="s">
        <v>17</v>
      </c>
    </row>
    <row r="3278" spans="1:2" x14ac:dyDescent="0.3">
      <c r="A3278" s="113" t="s">
        <v>50</v>
      </c>
      <c r="B3278" s="113" t="s">
        <v>25</v>
      </c>
    </row>
    <row r="3279" spans="1:2" x14ac:dyDescent="0.3">
      <c r="A3279" s="113" t="s">
        <v>48</v>
      </c>
      <c r="B3279" s="113" t="s">
        <v>17</v>
      </c>
    </row>
    <row r="3280" spans="1:2" x14ac:dyDescent="0.3">
      <c r="A3280" s="113" t="s">
        <v>57</v>
      </c>
      <c r="B3280" s="113" t="s">
        <v>17</v>
      </c>
    </row>
    <row r="3281" spans="1:2" x14ac:dyDescent="0.3">
      <c r="A3281" s="113" t="s">
        <v>3559</v>
      </c>
      <c r="B3281" s="113" t="s">
        <v>17</v>
      </c>
    </row>
    <row r="3282" spans="1:2" x14ac:dyDescent="0.3">
      <c r="A3282" s="113" t="s">
        <v>18</v>
      </c>
      <c r="B3282" s="113" t="s">
        <v>115</v>
      </c>
    </row>
    <row r="3283" spans="1:2" x14ac:dyDescent="0.3">
      <c r="A3283" s="113" t="s">
        <v>18</v>
      </c>
      <c r="B3283" s="113" t="s">
        <v>115</v>
      </c>
    </row>
    <row r="3284" spans="1:2" x14ac:dyDescent="0.3">
      <c r="A3284" s="113" t="s">
        <v>18</v>
      </c>
      <c r="B3284" s="113" t="s">
        <v>115</v>
      </c>
    </row>
    <row r="3285" spans="1:2" x14ac:dyDescent="0.3">
      <c r="A3285" s="113" t="s">
        <v>14</v>
      </c>
      <c r="B3285" s="113" t="s">
        <v>15</v>
      </c>
    </row>
    <row r="3286" spans="1:2" x14ac:dyDescent="0.3">
      <c r="A3286" s="113" t="s">
        <v>72</v>
      </c>
      <c r="B3286" s="113" t="s">
        <v>17</v>
      </c>
    </row>
    <row r="3287" spans="1:2" x14ac:dyDescent="0.3">
      <c r="A3287" s="113" t="s">
        <v>55</v>
      </c>
      <c r="B3287" s="113" t="s">
        <v>115</v>
      </c>
    </row>
    <row r="3288" spans="1:2" x14ac:dyDescent="0.3">
      <c r="A3288" s="113" t="s">
        <v>54</v>
      </c>
      <c r="B3288" s="113" t="s">
        <v>115</v>
      </c>
    </row>
    <row r="3289" spans="1:2" x14ac:dyDescent="0.3">
      <c r="A3289" s="113" t="s">
        <v>31</v>
      </c>
      <c r="B3289" s="113" t="s">
        <v>121</v>
      </c>
    </row>
    <row r="3290" spans="1:2" x14ac:dyDescent="0.3">
      <c r="A3290" s="113" t="s">
        <v>70</v>
      </c>
      <c r="B3290" s="113" t="s">
        <v>34</v>
      </c>
    </row>
    <row r="3291" spans="1:2" x14ac:dyDescent="0.3">
      <c r="A3291" s="113" t="s">
        <v>50</v>
      </c>
      <c r="B3291" s="113" t="s">
        <v>25</v>
      </c>
    </row>
    <row r="3292" spans="1:2" x14ac:dyDescent="0.3">
      <c r="A3292" s="113" t="s">
        <v>35</v>
      </c>
      <c r="B3292" s="113" t="s">
        <v>17</v>
      </c>
    </row>
    <row r="3293" spans="1:2" x14ac:dyDescent="0.3">
      <c r="A3293" s="113" t="s">
        <v>3665</v>
      </c>
      <c r="B3293" s="113" t="s">
        <v>121</v>
      </c>
    </row>
    <row r="3294" spans="1:2" x14ac:dyDescent="0.3">
      <c r="A3294" s="113" t="s">
        <v>3665</v>
      </c>
      <c r="B3294" s="113" t="s">
        <v>121</v>
      </c>
    </row>
    <row r="3295" spans="1:2" x14ac:dyDescent="0.3">
      <c r="A3295" s="113" t="s">
        <v>3665</v>
      </c>
      <c r="B3295" s="113" t="s">
        <v>121</v>
      </c>
    </row>
    <row r="3296" spans="1:2" x14ac:dyDescent="0.3">
      <c r="A3296" s="113" t="s">
        <v>3665</v>
      </c>
      <c r="B3296" s="113" t="s">
        <v>121</v>
      </c>
    </row>
    <row r="3297" spans="1:2" x14ac:dyDescent="0.3">
      <c r="A3297" s="113" t="s">
        <v>81</v>
      </c>
      <c r="B3297" s="113" t="s">
        <v>126</v>
      </c>
    </row>
    <row r="3298" spans="1:2" x14ac:dyDescent="0.3">
      <c r="A3298" s="113" t="s">
        <v>30</v>
      </c>
      <c r="B3298" s="113" t="s">
        <v>17</v>
      </c>
    </row>
    <row r="3299" spans="1:2" x14ac:dyDescent="0.3">
      <c r="A3299" s="113" t="s">
        <v>39</v>
      </c>
      <c r="B3299" s="113" t="s">
        <v>29</v>
      </c>
    </row>
    <row r="3300" spans="1:2" x14ac:dyDescent="0.3">
      <c r="A3300" s="113" t="s">
        <v>46</v>
      </c>
      <c r="B3300" s="113" t="s">
        <v>29</v>
      </c>
    </row>
    <row r="3301" spans="1:2" x14ac:dyDescent="0.3">
      <c r="A3301" s="113" t="s">
        <v>67</v>
      </c>
      <c r="B3301" s="113" t="s">
        <v>17</v>
      </c>
    </row>
    <row r="3302" spans="1:2" x14ac:dyDescent="0.3">
      <c r="A3302" s="113" t="s">
        <v>5287</v>
      </c>
      <c r="B3302" s="113" t="s">
        <v>17</v>
      </c>
    </row>
    <row r="3303" spans="1:2" x14ac:dyDescent="0.3">
      <c r="A3303" s="113" t="s">
        <v>3559</v>
      </c>
      <c r="B3303" s="113" t="s">
        <v>17</v>
      </c>
    </row>
    <row r="3304" spans="1:2" x14ac:dyDescent="0.3">
      <c r="A3304" s="113" t="s">
        <v>18</v>
      </c>
      <c r="B3304" s="113" t="s">
        <v>115</v>
      </c>
    </row>
    <row r="3305" spans="1:2" x14ac:dyDescent="0.3">
      <c r="A3305" s="113" t="s">
        <v>46</v>
      </c>
      <c r="B3305" s="113" t="s">
        <v>29</v>
      </c>
    </row>
    <row r="3306" spans="1:2" x14ac:dyDescent="0.3">
      <c r="A3306" s="113" t="s">
        <v>46</v>
      </c>
      <c r="B3306" s="113" t="s">
        <v>29</v>
      </c>
    </row>
    <row r="3307" spans="1:2" x14ac:dyDescent="0.3">
      <c r="A3307" s="113" t="s">
        <v>21</v>
      </c>
      <c r="B3307" s="113" t="s">
        <v>17</v>
      </c>
    </row>
    <row r="3308" spans="1:2" x14ac:dyDescent="0.3">
      <c r="A3308" s="113" t="s">
        <v>18</v>
      </c>
      <c r="B3308" s="113" t="s">
        <v>115</v>
      </c>
    </row>
    <row r="3309" spans="1:2" x14ac:dyDescent="0.3">
      <c r="A3309" s="113" t="s">
        <v>87</v>
      </c>
      <c r="B3309" s="113" t="s">
        <v>17</v>
      </c>
    </row>
    <row r="3310" spans="1:2" x14ac:dyDescent="0.3">
      <c r="A3310" s="113" t="s">
        <v>31</v>
      </c>
      <c r="B3310" s="113" t="s">
        <v>121</v>
      </c>
    </row>
    <row r="3311" spans="1:2" x14ac:dyDescent="0.3">
      <c r="A3311" s="113" t="s">
        <v>83</v>
      </c>
      <c r="B3311" s="113" t="s">
        <v>17</v>
      </c>
    </row>
    <row r="3312" spans="1:2" x14ac:dyDescent="0.3">
      <c r="A3312" s="113" t="s">
        <v>30</v>
      </c>
      <c r="B3312" s="113" t="s">
        <v>17</v>
      </c>
    </row>
    <row r="3313" spans="1:2" x14ac:dyDescent="0.3">
      <c r="A3313" s="113" t="s">
        <v>44</v>
      </c>
      <c r="B3313" s="113" t="s">
        <v>115</v>
      </c>
    </row>
    <row r="3314" spans="1:2" x14ac:dyDescent="0.3">
      <c r="A3314" s="113" t="s">
        <v>77</v>
      </c>
      <c r="B3314" s="113" t="s">
        <v>17</v>
      </c>
    </row>
    <row r="3315" spans="1:2" x14ac:dyDescent="0.3">
      <c r="A3315" s="113" t="s">
        <v>32</v>
      </c>
      <c r="B3315" s="113" t="s">
        <v>115</v>
      </c>
    </row>
    <row r="3316" spans="1:2" x14ac:dyDescent="0.3">
      <c r="A3316" s="113" t="s">
        <v>49</v>
      </c>
      <c r="B3316" s="113" t="s">
        <v>115</v>
      </c>
    </row>
    <row r="3317" spans="1:2" x14ac:dyDescent="0.3">
      <c r="A3317" s="113" t="s">
        <v>83</v>
      </c>
      <c r="B3317" s="113" t="s">
        <v>17</v>
      </c>
    </row>
    <row r="3318" spans="1:2" x14ac:dyDescent="0.3">
      <c r="A3318" s="113" t="s">
        <v>39</v>
      </c>
      <c r="B3318" s="113" t="s">
        <v>29</v>
      </c>
    </row>
    <row r="3319" spans="1:2" x14ac:dyDescent="0.3">
      <c r="A3319" s="113" t="s">
        <v>3559</v>
      </c>
      <c r="B3319" s="113" t="s">
        <v>17</v>
      </c>
    </row>
    <row r="3320" spans="1:2" x14ac:dyDescent="0.3">
      <c r="A3320" s="113" t="s">
        <v>81</v>
      </c>
      <c r="B3320" s="113" t="s">
        <v>126</v>
      </c>
    </row>
    <row r="3321" spans="1:2" x14ac:dyDescent="0.3">
      <c r="A3321" s="113" t="s">
        <v>3665</v>
      </c>
      <c r="B3321" s="113" t="s">
        <v>121</v>
      </c>
    </row>
    <row r="3322" spans="1:2" x14ac:dyDescent="0.3">
      <c r="A3322" s="113" t="s">
        <v>3665</v>
      </c>
      <c r="B3322" s="113" t="s">
        <v>121</v>
      </c>
    </row>
    <row r="3323" spans="1:2" x14ac:dyDescent="0.3">
      <c r="A3323" s="113" t="s">
        <v>3665</v>
      </c>
      <c r="B3323" s="113" t="s">
        <v>121</v>
      </c>
    </row>
    <row r="3324" spans="1:2" x14ac:dyDescent="0.3">
      <c r="A3324" s="113" t="s">
        <v>3665</v>
      </c>
      <c r="B3324" s="113" t="s">
        <v>121</v>
      </c>
    </row>
    <row r="3325" spans="1:2" x14ac:dyDescent="0.3">
      <c r="A3325" s="113" t="s">
        <v>3665</v>
      </c>
      <c r="B3325" s="113" t="s">
        <v>121</v>
      </c>
    </row>
    <row r="3326" spans="1:2" x14ac:dyDescent="0.3">
      <c r="A3326" s="113" t="s">
        <v>3665</v>
      </c>
      <c r="B3326" s="113" t="s">
        <v>121</v>
      </c>
    </row>
    <row r="3327" spans="1:2" x14ac:dyDescent="0.3">
      <c r="A3327" s="113" t="s">
        <v>3665</v>
      </c>
      <c r="B3327" s="113" t="s">
        <v>121</v>
      </c>
    </row>
    <row r="3328" spans="1:2" x14ac:dyDescent="0.3">
      <c r="A3328" s="113" t="s">
        <v>3665</v>
      </c>
      <c r="B3328" s="113" t="s">
        <v>121</v>
      </c>
    </row>
    <row r="3329" spans="1:2" x14ac:dyDescent="0.3">
      <c r="A3329" s="113" t="s">
        <v>3665</v>
      </c>
      <c r="B3329" s="113" t="s">
        <v>121</v>
      </c>
    </row>
    <row r="3330" spans="1:2" x14ac:dyDescent="0.3">
      <c r="A3330" s="113" t="s">
        <v>3665</v>
      </c>
      <c r="B3330" s="113" t="s">
        <v>121</v>
      </c>
    </row>
    <row r="3331" spans="1:2" x14ac:dyDescent="0.3">
      <c r="A3331" s="113" t="s">
        <v>3665</v>
      </c>
      <c r="B3331" s="113" t="s">
        <v>121</v>
      </c>
    </row>
    <row r="3332" spans="1:2" x14ac:dyDescent="0.3">
      <c r="A3332" s="113" t="s">
        <v>18</v>
      </c>
      <c r="B3332" s="113" t="s">
        <v>115</v>
      </c>
    </row>
    <row r="3333" spans="1:2" x14ac:dyDescent="0.3">
      <c r="A3333" s="113" t="s">
        <v>39</v>
      </c>
      <c r="B3333" s="113" t="s">
        <v>29</v>
      </c>
    </row>
    <row r="3334" spans="1:2" x14ac:dyDescent="0.3">
      <c r="A3334" s="113" t="s">
        <v>44</v>
      </c>
      <c r="B3334" s="113" t="s">
        <v>115</v>
      </c>
    </row>
    <row r="3335" spans="1:2" x14ac:dyDescent="0.3">
      <c r="A3335" s="113" t="s">
        <v>72</v>
      </c>
      <c r="B3335" s="113" t="s">
        <v>17</v>
      </c>
    </row>
    <row r="3336" spans="1:2" x14ac:dyDescent="0.3">
      <c r="A3336" s="113" t="s">
        <v>3559</v>
      </c>
      <c r="B3336" s="113" t="s">
        <v>17</v>
      </c>
    </row>
    <row r="3337" spans="1:2" x14ac:dyDescent="0.3">
      <c r="A3337" s="113" t="s">
        <v>30</v>
      </c>
      <c r="B3337" s="113" t="s">
        <v>17</v>
      </c>
    </row>
    <row r="3338" spans="1:2" x14ac:dyDescent="0.3">
      <c r="A3338" s="113" t="s">
        <v>67</v>
      </c>
      <c r="B3338" s="113" t="s">
        <v>17</v>
      </c>
    </row>
    <row r="3339" spans="1:2" x14ac:dyDescent="0.3">
      <c r="A3339" s="113" t="s">
        <v>67</v>
      </c>
      <c r="B3339" s="113" t="s">
        <v>17</v>
      </c>
    </row>
    <row r="3340" spans="1:2" x14ac:dyDescent="0.3">
      <c r="A3340" s="113" t="s">
        <v>67</v>
      </c>
      <c r="B3340" s="113" t="s">
        <v>17</v>
      </c>
    </row>
    <row r="3341" spans="1:2" x14ac:dyDescent="0.3">
      <c r="A3341" s="113" t="s">
        <v>67</v>
      </c>
      <c r="B3341" s="113" t="s">
        <v>17</v>
      </c>
    </row>
    <row r="3342" spans="1:2" x14ac:dyDescent="0.3">
      <c r="A3342" s="113" t="s">
        <v>67</v>
      </c>
      <c r="B3342" s="113" t="s">
        <v>17</v>
      </c>
    </row>
    <row r="3343" spans="1:2" x14ac:dyDescent="0.3">
      <c r="A3343" s="113" t="s">
        <v>67</v>
      </c>
      <c r="B3343" s="113" t="s">
        <v>17</v>
      </c>
    </row>
    <row r="3344" spans="1:2" x14ac:dyDescent="0.3">
      <c r="A3344" s="113" t="s">
        <v>18</v>
      </c>
      <c r="B3344" s="113" t="s">
        <v>115</v>
      </c>
    </row>
    <row r="3345" spans="1:2" x14ac:dyDescent="0.3">
      <c r="A3345" s="113" t="s">
        <v>66</v>
      </c>
      <c r="B3345" s="113" t="s">
        <v>17</v>
      </c>
    </row>
    <row r="3346" spans="1:2" x14ac:dyDescent="0.3">
      <c r="A3346" s="113" t="s">
        <v>46</v>
      </c>
      <c r="B3346" s="113" t="s">
        <v>29</v>
      </c>
    </row>
    <row r="3347" spans="1:2" x14ac:dyDescent="0.3">
      <c r="A3347" s="113" t="s">
        <v>31</v>
      </c>
      <c r="B3347" s="113" t="s">
        <v>121</v>
      </c>
    </row>
    <row r="3348" spans="1:2" x14ac:dyDescent="0.3">
      <c r="A3348" s="113" t="s">
        <v>18</v>
      </c>
      <c r="B3348" s="113" t="s">
        <v>115</v>
      </c>
    </row>
    <row r="3349" spans="1:2" x14ac:dyDescent="0.3">
      <c r="A3349" s="113" t="s">
        <v>66</v>
      </c>
      <c r="B3349" s="113" t="s">
        <v>17</v>
      </c>
    </row>
    <row r="3350" spans="1:2" x14ac:dyDescent="0.3">
      <c r="A3350" s="113" t="s">
        <v>39</v>
      </c>
      <c r="B3350" s="113" t="s">
        <v>29</v>
      </c>
    </row>
    <row r="3351" spans="1:2" x14ac:dyDescent="0.3">
      <c r="A3351" s="113" t="s">
        <v>39</v>
      </c>
      <c r="B3351" s="113" t="s">
        <v>29</v>
      </c>
    </row>
    <row r="3352" spans="1:2" x14ac:dyDescent="0.3">
      <c r="A3352" s="113" t="s">
        <v>46</v>
      </c>
      <c r="B3352" s="113" t="s">
        <v>29</v>
      </c>
    </row>
    <row r="3353" spans="1:2" x14ac:dyDescent="0.3">
      <c r="A3353" s="113" t="s">
        <v>46</v>
      </c>
      <c r="B3353" s="113" t="s">
        <v>29</v>
      </c>
    </row>
    <row r="3354" spans="1:2" x14ac:dyDescent="0.3">
      <c r="A3354" s="113" t="s">
        <v>21</v>
      </c>
      <c r="B3354" s="113" t="s">
        <v>17</v>
      </c>
    </row>
    <row r="3355" spans="1:2" x14ac:dyDescent="0.3">
      <c r="A3355" s="113" t="s">
        <v>72</v>
      </c>
      <c r="B3355" s="113" t="s">
        <v>17</v>
      </c>
    </row>
    <row r="3356" spans="1:2" x14ac:dyDescent="0.3">
      <c r="A3356" s="113" t="s">
        <v>44</v>
      </c>
      <c r="B3356" s="113" t="s">
        <v>115</v>
      </c>
    </row>
    <row r="3357" spans="1:2" x14ac:dyDescent="0.3">
      <c r="A3357" s="113" t="s">
        <v>44</v>
      </c>
      <c r="B3357" s="113" t="s">
        <v>115</v>
      </c>
    </row>
    <row r="3358" spans="1:2" x14ac:dyDescent="0.3">
      <c r="A3358" s="113" t="s">
        <v>44</v>
      </c>
      <c r="B3358" s="113" t="s">
        <v>115</v>
      </c>
    </row>
    <row r="3359" spans="1:2" x14ac:dyDescent="0.3">
      <c r="A3359" s="113" t="s">
        <v>44</v>
      </c>
      <c r="B3359" s="113" t="s">
        <v>115</v>
      </c>
    </row>
    <row r="3360" spans="1:2" x14ac:dyDescent="0.3">
      <c r="A3360" s="113" t="s">
        <v>44</v>
      </c>
      <c r="B3360" s="113" t="s">
        <v>115</v>
      </c>
    </row>
    <row r="3361" spans="1:2" x14ac:dyDescent="0.3">
      <c r="A3361" s="113" t="s">
        <v>44</v>
      </c>
      <c r="B3361" s="113" t="s">
        <v>115</v>
      </c>
    </row>
    <row r="3362" spans="1:2" x14ac:dyDescent="0.3">
      <c r="A3362" s="113" t="s">
        <v>44</v>
      </c>
      <c r="B3362" s="113" t="s">
        <v>115</v>
      </c>
    </row>
    <row r="3363" spans="1:2" x14ac:dyDescent="0.3">
      <c r="A3363" s="113" t="s">
        <v>44</v>
      </c>
      <c r="B3363" s="113" t="s">
        <v>115</v>
      </c>
    </row>
    <row r="3364" spans="1:2" x14ac:dyDescent="0.3">
      <c r="A3364" s="113" t="s">
        <v>3559</v>
      </c>
      <c r="B3364" s="113" t="s">
        <v>17</v>
      </c>
    </row>
    <row r="3365" spans="1:2" x14ac:dyDescent="0.3">
      <c r="A3365" s="113" t="s">
        <v>37</v>
      </c>
      <c r="B3365" s="113" t="s">
        <v>115</v>
      </c>
    </row>
    <row r="3366" spans="1:2" x14ac:dyDescent="0.3">
      <c r="A3366" s="113" t="s">
        <v>44</v>
      </c>
      <c r="B3366" s="113" t="s">
        <v>115</v>
      </c>
    </row>
    <row r="3367" spans="1:2" x14ac:dyDescent="0.3">
      <c r="A3367" s="113" t="s">
        <v>44</v>
      </c>
      <c r="B3367" s="113" t="s">
        <v>115</v>
      </c>
    </row>
    <row r="3368" spans="1:2" x14ac:dyDescent="0.3">
      <c r="A3368" s="113" t="s">
        <v>26</v>
      </c>
      <c r="B3368" s="113" t="s">
        <v>127</v>
      </c>
    </row>
    <row r="3369" spans="1:2" x14ac:dyDescent="0.3">
      <c r="A3369" s="113" t="s">
        <v>77</v>
      </c>
      <c r="B3369" s="113" t="s">
        <v>17</v>
      </c>
    </row>
    <row r="3370" spans="1:2" x14ac:dyDescent="0.3">
      <c r="A3370" s="113" t="s">
        <v>30</v>
      </c>
      <c r="B3370" s="113" t="s">
        <v>17</v>
      </c>
    </row>
    <row r="3371" spans="1:2" x14ac:dyDescent="0.3">
      <c r="A3371" s="113" t="s">
        <v>104</v>
      </c>
      <c r="B3371" s="113" t="s">
        <v>115</v>
      </c>
    </row>
    <row r="3372" spans="1:2" x14ac:dyDescent="0.3">
      <c r="A3372" s="113" t="s">
        <v>104</v>
      </c>
      <c r="B3372" s="113" t="s">
        <v>115</v>
      </c>
    </row>
    <row r="3373" spans="1:2" x14ac:dyDescent="0.3">
      <c r="A3373" s="113" t="s">
        <v>104</v>
      </c>
      <c r="B3373" s="113" t="s">
        <v>115</v>
      </c>
    </row>
    <row r="3374" spans="1:2" x14ac:dyDescent="0.3">
      <c r="A3374" s="113" t="s">
        <v>104</v>
      </c>
      <c r="B3374" s="113" t="s">
        <v>115</v>
      </c>
    </row>
    <row r="3375" spans="1:2" x14ac:dyDescent="0.3">
      <c r="A3375" s="113" t="s">
        <v>18</v>
      </c>
      <c r="B3375" s="113" t="s">
        <v>115</v>
      </c>
    </row>
    <row r="3376" spans="1:2" x14ac:dyDescent="0.3">
      <c r="A3376" s="113" t="s">
        <v>3559</v>
      </c>
      <c r="B3376" s="113" t="s">
        <v>17</v>
      </c>
    </row>
    <row r="3377" spans="1:2" x14ac:dyDescent="0.3">
      <c r="A3377" s="113" t="s">
        <v>46</v>
      </c>
      <c r="B3377" s="113" t="s">
        <v>29</v>
      </c>
    </row>
    <row r="3378" spans="1:2" x14ac:dyDescent="0.3">
      <c r="A3378" s="113" t="s">
        <v>85</v>
      </c>
      <c r="B3378" s="113" t="s">
        <v>17</v>
      </c>
    </row>
    <row r="3379" spans="1:2" x14ac:dyDescent="0.3">
      <c r="A3379" s="113" t="s">
        <v>82</v>
      </c>
      <c r="B3379" s="113" t="s">
        <v>17</v>
      </c>
    </row>
    <row r="3380" spans="1:2" x14ac:dyDescent="0.3">
      <c r="A3380" s="113" t="s">
        <v>18</v>
      </c>
      <c r="B3380" s="113" t="s">
        <v>115</v>
      </c>
    </row>
    <row r="3381" spans="1:2" x14ac:dyDescent="0.3">
      <c r="A3381" s="113" t="s">
        <v>87</v>
      </c>
      <c r="B3381" s="113" t="s">
        <v>17</v>
      </c>
    </row>
    <row r="3382" spans="1:2" x14ac:dyDescent="0.3">
      <c r="A3382" s="113" t="s">
        <v>39</v>
      </c>
      <c r="B3382" s="113" t="s">
        <v>29</v>
      </c>
    </row>
    <row r="3383" spans="1:2" x14ac:dyDescent="0.3">
      <c r="A3383" s="113" t="s">
        <v>87</v>
      </c>
      <c r="B3383" s="113" t="s">
        <v>17</v>
      </c>
    </row>
    <row r="3384" spans="1:2" x14ac:dyDescent="0.3">
      <c r="A3384" s="113" t="s">
        <v>46</v>
      </c>
      <c r="B3384" s="113" t="s">
        <v>29</v>
      </c>
    </row>
    <row r="3385" spans="1:2" x14ac:dyDescent="0.3">
      <c r="A3385" s="113" t="s">
        <v>41</v>
      </c>
      <c r="B3385" s="113" t="s">
        <v>17</v>
      </c>
    </row>
    <row r="3386" spans="1:2" x14ac:dyDescent="0.3">
      <c r="A3386" s="113" t="s">
        <v>57</v>
      </c>
      <c r="B3386" s="113" t="s">
        <v>17</v>
      </c>
    </row>
    <row r="3387" spans="1:2" x14ac:dyDescent="0.3">
      <c r="A3387" s="113" t="s">
        <v>101</v>
      </c>
      <c r="B3387" s="113" t="s">
        <v>17</v>
      </c>
    </row>
    <row r="3388" spans="1:2" x14ac:dyDescent="0.3">
      <c r="A3388" s="113" t="s">
        <v>26</v>
      </c>
      <c r="B3388" s="113" t="s">
        <v>127</v>
      </c>
    </row>
    <row r="3389" spans="1:2" x14ac:dyDescent="0.3">
      <c r="A3389" s="113" t="s">
        <v>59</v>
      </c>
      <c r="B3389" s="113" t="s">
        <v>17</v>
      </c>
    </row>
    <row r="3390" spans="1:2" x14ac:dyDescent="0.3">
      <c r="A3390" s="113" t="s">
        <v>18</v>
      </c>
      <c r="B3390" s="113" t="s">
        <v>115</v>
      </c>
    </row>
    <row r="3391" spans="1:2" x14ac:dyDescent="0.3">
      <c r="A3391" s="113" t="s">
        <v>85</v>
      </c>
      <c r="B3391" s="113" t="s">
        <v>17</v>
      </c>
    </row>
    <row r="3392" spans="1:2" x14ac:dyDescent="0.3">
      <c r="A3392" s="113" t="s">
        <v>18</v>
      </c>
      <c r="B3392" s="113" t="s">
        <v>115</v>
      </c>
    </row>
    <row r="3393" spans="1:2" x14ac:dyDescent="0.3">
      <c r="A3393" s="113" t="s">
        <v>26</v>
      </c>
      <c r="B3393" s="113" t="s">
        <v>127</v>
      </c>
    </row>
    <row r="3394" spans="1:2" x14ac:dyDescent="0.3">
      <c r="A3394" s="113" t="s">
        <v>50</v>
      </c>
      <c r="B3394" s="113" t="s">
        <v>25</v>
      </c>
    </row>
    <row r="3395" spans="1:2" x14ac:dyDescent="0.3">
      <c r="A3395" s="113" t="s">
        <v>46</v>
      </c>
      <c r="B3395" s="113" t="s">
        <v>29</v>
      </c>
    </row>
    <row r="3396" spans="1:2" x14ac:dyDescent="0.3">
      <c r="A3396" s="113" t="s">
        <v>46</v>
      </c>
      <c r="B3396" s="113" t="s">
        <v>29</v>
      </c>
    </row>
    <row r="3397" spans="1:2" x14ac:dyDescent="0.3">
      <c r="A3397" s="113" t="s">
        <v>39</v>
      </c>
      <c r="B3397" s="113" t="s">
        <v>29</v>
      </c>
    </row>
    <row r="3398" spans="1:2" x14ac:dyDescent="0.3">
      <c r="A3398" s="113" t="s">
        <v>3559</v>
      </c>
      <c r="B3398" s="113" t="s">
        <v>17</v>
      </c>
    </row>
    <row r="3399" spans="1:2" x14ac:dyDescent="0.3">
      <c r="A3399" s="113" t="s">
        <v>18</v>
      </c>
      <c r="B3399" s="113" t="s">
        <v>115</v>
      </c>
    </row>
    <row r="3400" spans="1:2" x14ac:dyDescent="0.3">
      <c r="A3400" s="113" t="s">
        <v>66</v>
      </c>
      <c r="B3400" s="113" t="s">
        <v>17</v>
      </c>
    </row>
    <row r="3401" spans="1:2" x14ac:dyDescent="0.3">
      <c r="A3401" s="113" t="s">
        <v>41</v>
      </c>
      <c r="B3401" s="113" t="s">
        <v>17</v>
      </c>
    </row>
    <row r="3402" spans="1:2" x14ac:dyDescent="0.3">
      <c r="A3402" s="113" t="s">
        <v>41</v>
      </c>
      <c r="B3402" s="113" t="s">
        <v>17</v>
      </c>
    </row>
    <row r="3403" spans="1:2" x14ac:dyDescent="0.3">
      <c r="A3403" s="113" t="s">
        <v>3665</v>
      </c>
      <c r="B3403" s="113" t="s">
        <v>121</v>
      </c>
    </row>
    <row r="3404" spans="1:2" x14ac:dyDescent="0.3">
      <c r="A3404" s="113" t="s">
        <v>39</v>
      </c>
      <c r="B3404" s="113" t="s">
        <v>29</v>
      </c>
    </row>
    <row r="3405" spans="1:2" x14ac:dyDescent="0.3">
      <c r="A3405" s="113" t="s">
        <v>46</v>
      </c>
      <c r="B3405" s="113" t="s">
        <v>29</v>
      </c>
    </row>
    <row r="3406" spans="1:2" x14ac:dyDescent="0.3">
      <c r="A3406" s="113" t="s">
        <v>46</v>
      </c>
      <c r="B3406" s="113" t="s">
        <v>29</v>
      </c>
    </row>
    <row r="3407" spans="1:2" x14ac:dyDescent="0.3">
      <c r="A3407" s="113" t="s">
        <v>83</v>
      </c>
      <c r="B3407" s="113" t="s">
        <v>17</v>
      </c>
    </row>
    <row r="3408" spans="1:2" x14ac:dyDescent="0.3">
      <c r="A3408" s="113" t="s">
        <v>85</v>
      </c>
      <c r="B3408" s="113" t="s">
        <v>17</v>
      </c>
    </row>
    <row r="3409" spans="1:2" x14ac:dyDescent="0.3">
      <c r="A3409" s="113" t="s">
        <v>3665</v>
      </c>
      <c r="B3409" s="113" t="s">
        <v>121</v>
      </c>
    </row>
    <row r="3410" spans="1:2" x14ac:dyDescent="0.3">
      <c r="A3410" s="113" t="s">
        <v>18</v>
      </c>
      <c r="B3410" s="113" t="s">
        <v>115</v>
      </c>
    </row>
    <row r="3411" spans="1:2" x14ac:dyDescent="0.3">
      <c r="A3411" s="113" t="s">
        <v>50</v>
      </c>
      <c r="B3411" s="113" t="s">
        <v>25</v>
      </c>
    </row>
    <row r="3412" spans="1:2" x14ac:dyDescent="0.3">
      <c r="A3412" s="113" t="s">
        <v>46</v>
      </c>
      <c r="B3412" s="113" t="s">
        <v>29</v>
      </c>
    </row>
    <row r="3413" spans="1:2" x14ac:dyDescent="0.3">
      <c r="A3413" s="113" t="s">
        <v>30</v>
      </c>
      <c r="B3413" s="113" t="s">
        <v>17</v>
      </c>
    </row>
    <row r="3414" spans="1:2" x14ac:dyDescent="0.3">
      <c r="A3414" s="113" t="s">
        <v>31</v>
      </c>
      <c r="B3414" s="113" t="s">
        <v>121</v>
      </c>
    </row>
    <row r="3415" spans="1:2" x14ac:dyDescent="0.3">
      <c r="A3415" s="113" t="s">
        <v>81</v>
      </c>
      <c r="B3415" s="113" t="s">
        <v>126</v>
      </c>
    </row>
    <row r="3416" spans="1:2" x14ac:dyDescent="0.3">
      <c r="A3416" s="113" t="s">
        <v>3665</v>
      </c>
      <c r="B3416" s="113" t="s">
        <v>121</v>
      </c>
    </row>
    <row r="3417" spans="1:2" x14ac:dyDescent="0.3">
      <c r="A3417" s="113" t="s">
        <v>3665</v>
      </c>
      <c r="B3417" s="113" t="s">
        <v>121</v>
      </c>
    </row>
    <row r="3418" spans="1:2" x14ac:dyDescent="0.3">
      <c r="A3418" s="113" t="s">
        <v>18</v>
      </c>
      <c r="B3418" s="113" t="s">
        <v>115</v>
      </c>
    </row>
    <row r="3419" spans="1:2" x14ac:dyDescent="0.3">
      <c r="A3419" s="113" t="s">
        <v>104</v>
      </c>
      <c r="B3419" s="113" t="s">
        <v>115</v>
      </c>
    </row>
    <row r="3420" spans="1:2" x14ac:dyDescent="0.3">
      <c r="A3420" s="113" t="s">
        <v>81</v>
      </c>
      <c r="B3420" s="113" t="s">
        <v>126</v>
      </c>
    </row>
    <row r="3421" spans="1:2" x14ac:dyDescent="0.3">
      <c r="A3421" s="113" t="s">
        <v>3665</v>
      </c>
      <c r="B3421" s="113" t="s">
        <v>121</v>
      </c>
    </row>
    <row r="3422" spans="1:2" x14ac:dyDescent="0.3">
      <c r="A3422" s="113" t="s">
        <v>3665</v>
      </c>
      <c r="B3422" s="113" t="s">
        <v>121</v>
      </c>
    </row>
    <row r="3423" spans="1:2" x14ac:dyDescent="0.3">
      <c r="A3423" s="113" t="s">
        <v>3665</v>
      </c>
      <c r="B3423" s="113" t="s">
        <v>121</v>
      </c>
    </row>
    <row r="3424" spans="1:2" x14ac:dyDescent="0.3">
      <c r="A3424" s="113" t="s">
        <v>3665</v>
      </c>
      <c r="B3424" s="113" t="s">
        <v>121</v>
      </c>
    </row>
    <row r="3425" spans="1:2" x14ac:dyDescent="0.3">
      <c r="A3425" s="113" t="s">
        <v>3665</v>
      </c>
      <c r="B3425" s="113" t="s">
        <v>121</v>
      </c>
    </row>
    <row r="3426" spans="1:2" x14ac:dyDescent="0.3">
      <c r="A3426" s="113" t="s">
        <v>46</v>
      </c>
      <c r="B3426" s="113" t="s">
        <v>29</v>
      </c>
    </row>
    <row r="3427" spans="1:2" x14ac:dyDescent="0.3">
      <c r="A3427" s="113" t="s">
        <v>46</v>
      </c>
      <c r="B3427" s="113" t="s">
        <v>29</v>
      </c>
    </row>
    <row r="3428" spans="1:2" x14ac:dyDescent="0.3">
      <c r="A3428" s="113" t="s">
        <v>83</v>
      </c>
      <c r="B3428" s="113" t="s">
        <v>17</v>
      </c>
    </row>
    <row r="3429" spans="1:2" x14ac:dyDescent="0.3">
      <c r="A3429" s="113" t="s">
        <v>43</v>
      </c>
      <c r="B3429" s="113" t="s">
        <v>29</v>
      </c>
    </row>
    <row r="3430" spans="1:2" x14ac:dyDescent="0.3">
      <c r="A3430" s="113" t="s">
        <v>82</v>
      </c>
      <c r="B3430" s="113" t="s">
        <v>17</v>
      </c>
    </row>
    <row r="3431" spans="1:2" x14ac:dyDescent="0.3">
      <c r="A3431" s="113" t="s">
        <v>5287</v>
      </c>
      <c r="B3431" s="113" t="s">
        <v>17</v>
      </c>
    </row>
    <row r="3432" spans="1:2" x14ac:dyDescent="0.3">
      <c r="A3432" s="113" t="s">
        <v>103</v>
      </c>
      <c r="B3432" s="113" t="s">
        <v>17</v>
      </c>
    </row>
    <row r="3433" spans="1:2" x14ac:dyDescent="0.3">
      <c r="A3433" s="113" t="s">
        <v>3559</v>
      </c>
      <c r="B3433" s="113" t="s">
        <v>17</v>
      </c>
    </row>
    <row r="3434" spans="1:2" x14ac:dyDescent="0.3">
      <c r="A3434" s="113" t="s">
        <v>18</v>
      </c>
      <c r="B3434" s="113" t="s">
        <v>115</v>
      </c>
    </row>
    <row r="3435" spans="1:2" x14ac:dyDescent="0.3">
      <c r="A3435" s="113" t="s">
        <v>46</v>
      </c>
      <c r="B3435" s="113" t="s">
        <v>29</v>
      </c>
    </row>
    <row r="3436" spans="1:2" x14ac:dyDescent="0.3">
      <c r="A3436" s="113" t="s">
        <v>83</v>
      </c>
      <c r="B3436" s="113" t="s">
        <v>17</v>
      </c>
    </row>
    <row r="3437" spans="1:2" x14ac:dyDescent="0.3">
      <c r="A3437" s="113" t="s">
        <v>43</v>
      </c>
      <c r="B3437" s="113" t="s">
        <v>29</v>
      </c>
    </row>
    <row r="3438" spans="1:2" x14ac:dyDescent="0.3">
      <c r="A3438" s="113" t="s">
        <v>76</v>
      </c>
      <c r="B3438" s="113" t="s">
        <v>17</v>
      </c>
    </row>
    <row r="3439" spans="1:2" x14ac:dyDescent="0.3">
      <c r="A3439" s="113" t="s">
        <v>46</v>
      </c>
      <c r="B3439" s="113" t="s">
        <v>29</v>
      </c>
    </row>
    <row r="3440" spans="1:2" x14ac:dyDescent="0.3">
      <c r="A3440" s="113" t="s">
        <v>30</v>
      </c>
      <c r="B3440" s="113" t="s">
        <v>17</v>
      </c>
    </row>
    <row r="3441" spans="1:2" x14ac:dyDescent="0.3">
      <c r="A3441" s="113" t="s">
        <v>46</v>
      </c>
      <c r="B3441" s="113" t="s">
        <v>29</v>
      </c>
    </row>
    <row r="3442" spans="1:2" x14ac:dyDescent="0.3">
      <c r="A3442" s="113" t="s">
        <v>46</v>
      </c>
      <c r="B3442" s="113" t="s">
        <v>29</v>
      </c>
    </row>
    <row r="3443" spans="1:2" x14ac:dyDescent="0.3">
      <c r="A3443" s="113" t="s">
        <v>26</v>
      </c>
      <c r="B3443" s="113" t="s">
        <v>127</v>
      </c>
    </row>
    <row r="3444" spans="1:2" x14ac:dyDescent="0.3">
      <c r="A3444" s="113" t="s">
        <v>104</v>
      </c>
      <c r="B3444" s="113" t="s">
        <v>115</v>
      </c>
    </row>
    <row r="3445" spans="1:2" x14ac:dyDescent="0.3">
      <c r="A3445" s="113" t="s">
        <v>18</v>
      </c>
      <c r="B3445" s="113" t="s">
        <v>115</v>
      </c>
    </row>
    <row r="3446" spans="1:2" x14ac:dyDescent="0.3">
      <c r="A3446" s="113" t="s">
        <v>81</v>
      </c>
      <c r="B3446" s="113" t="s">
        <v>126</v>
      </c>
    </row>
    <row r="3447" spans="1:2" x14ac:dyDescent="0.3">
      <c r="A3447" s="113" t="s">
        <v>81</v>
      </c>
      <c r="B3447" s="113" t="s">
        <v>126</v>
      </c>
    </row>
    <row r="3448" spans="1:2" x14ac:dyDescent="0.3">
      <c r="A3448" s="113" t="s">
        <v>3665</v>
      </c>
      <c r="B3448" s="113" t="s">
        <v>121</v>
      </c>
    </row>
    <row r="3449" spans="1:2" x14ac:dyDescent="0.3">
      <c r="A3449" s="113" t="s">
        <v>3665</v>
      </c>
      <c r="B3449" s="113" t="s">
        <v>121</v>
      </c>
    </row>
    <row r="3450" spans="1:2" x14ac:dyDescent="0.3">
      <c r="A3450" s="113" t="s">
        <v>18</v>
      </c>
      <c r="B3450" s="113" t="s">
        <v>115</v>
      </c>
    </row>
    <row r="3451" spans="1:2" x14ac:dyDescent="0.3">
      <c r="A3451" s="113" t="s">
        <v>35</v>
      </c>
      <c r="B3451" s="113" t="s">
        <v>17</v>
      </c>
    </row>
    <row r="3452" spans="1:2" x14ac:dyDescent="0.3">
      <c r="A3452" s="113" t="s">
        <v>35</v>
      </c>
      <c r="B3452" s="113" t="s">
        <v>17</v>
      </c>
    </row>
    <row r="3453" spans="1:2" x14ac:dyDescent="0.3">
      <c r="A3453" s="113" t="s">
        <v>46</v>
      </c>
      <c r="B3453" s="113" t="s">
        <v>29</v>
      </c>
    </row>
    <row r="3454" spans="1:2" x14ac:dyDescent="0.3">
      <c r="A3454" s="113" t="s">
        <v>46</v>
      </c>
      <c r="B3454" s="113" t="s">
        <v>29</v>
      </c>
    </row>
    <row r="3455" spans="1:2" x14ac:dyDescent="0.3">
      <c r="A3455" s="113" t="s">
        <v>46</v>
      </c>
      <c r="B3455" s="113" t="s">
        <v>29</v>
      </c>
    </row>
    <row r="3456" spans="1:2" x14ac:dyDescent="0.3">
      <c r="A3456" s="113" t="s">
        <v>3559</v>
      </c>
      <c r="B3456" s="113" t="s">
        <v>17</v>
      </c>
    </row>
    <row r="3457" spans="1:2" x14ac:dyDescent="0.3">
      <c r="A3457" s="113" t="s">
        <v>72</v>
      </c>
      <c r="B3457" s="113" t="s">
        <v>17</v>
      </c>
    </row>
    <row r="3458" spans="1:2" x14ac:dyDescent="0.3">
      <c r="A3458" s="113" t="s">
        <v>39</v>
      </c>
      <c r="B3458" s="113" t="s">
        <v>29</v>
      </c>
    </row>
    <row r="3459" spans="1:2" x14ac:dyDescent="0.3">
      <c r="A3459" s="113" t="s">
        <v>31</v>
      </c>
      <c r="B3459" s="113" t="s">
        <v>121</v>
      </c>
    </row>
    <row r="3460" spans="1:2" x14ac:dyDescent="0.3">
      <c r="A3460" s="113" t="s">
        <v>72</v>
      </c>
      <c r="B3460" s="113" t="s">
        <v>17</v>
      </c>
    </row>
    <row r="3461" spans="1:2" x14ac:dyDescent="0.3">
      <c r="A3461" s="113" t="s">
        <v>18</v>
      </c>
      <c r="B3461" s="113" t="s">
        <v>115</v>
      </c>
    </row>
    <row r="3462" spans="1:2" x14ac:dyDescent="0.3">
      <c r="A3462" s="113" t="s">
        <v>3665</v>
      </c>
      <c r="B3462" s="113" t="s">
        <v>121</v>
      </c>
    </row>
    <row r="3463" spans="1:2" x14ac:dyDescent="0.3">
      <c r="A3463" s="113" t="s">
        <v>3665</v>
      </c>
      <c r="B3463" s="113" t="s">
        <v>121</v>
      </c>
    </row>
    <row r="3464" spans="1:2" x14ac:dyDescent="0.3">
      <c r="A3464" s="113" t="s">
        <v>3665</v>
      </c>
      <c r="B3464" s="113" t="s">
        <v>121</v>
      </c>
    </row>
    <row r="3465" spans="1:2" x14ac:dyDescent="0.3">
      <c r="A3465" s="113" t="s">
        <v>3665</v>
      </c>
      <c r="B3465" s="113" t="s">
        <v>121</v>
      </c>
    </row>
    <row r="3466" spans="1:2" x14ac:dyDescent="0.3">
      <c r="A3466" s="113" t="s">
        <v>3665</v>
      </c>
      <c r="B3466" s="113" t="s">
        <v>121</v>
      </c>
    </row>
    <row r="3467" spans="1:2" x14ac:dyDescent="0.3">
      <c r="A3467" s="113" t="s">
        <v>3665</v>
      </c>
      <c r="B3467" s="113" t="s">
        <v>121</v>
      </c>
    </row>
    <row r="3468" spans="1:2" x14ac:dyDescent="0.3">
      <c r="A3468" s="113" t="s">
        <v>46</v>
      </c>
      <c r="B3468" s="113" t="s">
        <v>29</v>
      </c>
    </row>
    <row r="3469" spans="1:2" x14ac:dyDescent="0.3">
      <c r="A3469" s="113" t="s">
        <v>46</v>
      </c>
      <c r="B3469" s="113" t="s">
        <v>29</v>
      </c>
    </row>
    <row r="3470" spans="1:2" x14ac:dyDescent="0.3">
      <c r="A3470" s="113" t="s">
        <v>85</v>
      </c>
      <c r="B3470" s="113" t="s">
        <v>17</v>
      </c>
    </row>
    <row r="3471" spans="1:2" x14ac:dyDescent="0.3">
      <c r="A3471" s="113" t="s">
        <v>87</v>
      </c>
      <c r="B3471" s="113" t="s">
        <v>17</v>
      </c>
    </row>
    <row r="3472" spans="1:2" x14ac:dyDescent="0.3">
      <c r="A3472" s="113" t="s">
        <v>21</v>
      </c>
      <c r="B3472" s="113" t="s">
        <v>17</v>
      </c>
    </row>
    <row r="3473" spans="1:2" x14ac:dyDescent="0.3">
      <c r="A3473" s="113" t="s">
        <v>90</v>
      </c>
      <c r="B3473" s="113" t="s">
        <v>29</v>
      </c>
    </row>
    <row r="3474" spans="1:2" x14ac:dyDescent="0.3">
      <c r="A3474" s="113" t="s">
        <v>81</v>
      </c>
      <c r="B3474" s="113" t="s">
        <v>126</v>
      </c>
    </row>
    <row r="3475" spans="1:2" x14ac:dyDescent="0.3">
      <c r="A3475" s="113" t="s">
        <v>14</v>
      </c>
      <c r="B3475" s="113" t="s">
        <v>15</v>
      </c>
    </row>
    <row r="3476" spans="1:2" x14ac:dyDescent="0.3">
      <c r="A3476" s="113" t="s">
        <v>87</v>
      </c>
      <c r="B3476" s="113" t="s">
        <v>17</v>
      </c>
    </row>
    <row r="3477" spans="1:2" x14ac:dyDescent="0.3">
      <c r="A3477" s="113" t="s">
        <v>32</v>
      </c>
      <c r="B3477" s="113" t="s">
        <v>115</v>
      </c>
    </row>
    <row r="3478" spans="1:2" x14ac:dyDescent="0.3">
      <c r="A3478" s="113" t="s">
        <v>42</v>
      </c>
      <c r="B3478" s="113" t="s">
        <v>121</v>
      </c>
    </row>
    <row r="3479" spans="1:2" x14ac:dyDescent="0.3">
      <c r="A3479" s="113" t="s">
        <v>46</v>
      </c>
      <c r="B3479" s="113" t="s">
        <v>29</v>
      </c>
    </row>
    <row r="3480" spans="1:2" x14ac:dyDescent="0.3">
      <c r="A3480" s="113" t="s">
        <v>46</v>
      </c>
      <c r="B3480" s="113" t="s">
        <v>29</v>
      </c>
    </row>
    <row r="3481" spans="1:2" x14ac:dyDescent="0.3">
      <c r="A3481" s="113" t="s">
        <v>50</v>
      </c>
      <c r="B3481" s="113" t="s">
        <v>25</v>
      </c>
    </row>
    <row r="3482" spans="1:2" x14ac:dyDescent="0.3">
      <c r="A3482" s="113" t="s">
        <v>48</v>
      </c>
      <c r="B3482" s="113" t="s">
        <v>17</v>
      </c>
    </row>
    <row r="3483" spans="1:2" x14ac:dyDescent="0.3">
      <c r="A3483" s="113" t="s">
        <v>54</v>
      </c>
      <c r="B3483" s="113" t="s">
        <v>115</v>
      </c>
    </row>
    <row r="3484" spans="1:2" x14ac:dyDescent="0.3">
      <c r="A3484" s="113" t="s">
        <v>55</v>
      </c>
      <c r="B3484" s="113" t="s">
        <v>115</v>
      </c>
    </row>
    <row r="3485" spans="1:2" x14ac:dyDescent="0.3">
      <c r="A3485" s="113" t="s">
        <v>57</v>
      </c>
      <c r="B3485" s="113" t="s">
        <v>17</v>
      </c>
    </row>
    <row r="3486" spans="1:2" x14ac:dyDescent="0.3">
      <c r="A3486" s="113" t="s">
        <v>50</v>
      </c>
      <c r="B3486" s="113" t="s">
        <v>25</v>
      </c>
    </row>
    <row r="3487" spans="1:2" x14ac:dyDescent="0.3">
      <c r="A3487" s="113" t="s">
        <v>3559</v>
      </c>
      <c r="B3487" s="113" t="s">
        <v>17</v>
      </c>
    </row>
    <row r="3488" spans="1:2" x14ac:dyDescent="0.3">
      <c r="A3488" s="113" t="s">
        <v>70</v>
      </c>
      <c r="B3488" s="113" t="s">
        <v>34</v>
      </c>
    </row>
    <row r="3489" spans="1:2" x14ac:dyDescent="0.3">
      <c r="A3489" s="113" t="s">
        <v>3559</v>
      </c>
      <c r="B3489" s="113" t="s">
        <v>17</v>
      </c>
    </row>
    <row r="3490" spans="1:2" x14ac:dyDescent="0.3">
      <c r="A3490" s="113" t="s">
        <v>85</v>
      </c>
      <c r="B3490" s="113" t="s">
        <v>17</v>
      </c>
    </row>
    <row r="3491" spans="1:2" x14ac:dyDescent="0.3">
      <c r="A3491" s="113" t="s">
        <v>104</v>
      </c>
      <c r="B3491" s="113" t="s">
        <v>115</v>
      </c>
    </row>
    <row r="3492" spans="1:2" x14ac:dyDescent="0.3">
      <c r="A3492" s="113" t="s">
        <v>57</v>
      </c>
      <c r="B3492" s="113" t="s">
        <v>17</v>
      </c>
    </row>
    <row r="3493" spans="1:2" x14ac:dyDescent="0.3">
      <c r="A3493" s="113" t="s">
        <v>18</v>
      </c>
      <c r="B3493" s="113" t="s">
        <v>115</v>
      </c>
    </row>
    <row r="3494" spans="1:2" x14ac:dyDescent="0.3">
      <c r="A3494" s="113" t="s">
        <v>70</v>
      </c>
      <c r="B3494" s="113" t="s">
        <v>34</v>
      </c>
    </row>
    <row r="3495" spans="1:2" x14ac:dyDescent="0.3">
      <c r="A3495" s="113" t="s">
        <v>5585</v>
      </c>
      <c r="B3495" s="113" t="s">
        <v>17</v>
      </c>
    </row>
    <row r="3496" spans="1:2" x14ac:dyDescent="0.3">
      <c r="A3496" s="113" t="s">
        <v>87</v>
      </c>
      <c r="B3496" s="113" t="s">
        <v>17</v>
      </c>
    </row>
    <row r="3497" spans="1:2" x14ac:dyDescent="0.3">
      <c r="A3497" s="113" t="s">
        <v>39</v>
      </c>
      <c r="B3497" s="113" t="s">
        <v>29</v>
      </c>
    </row>
    <row r="3498" spans="1:2" x14ac:dyDescent="0.3">
      <c r="A3498" s="113" t="s">
        <v>46</v>
      </c>
      <c r="B3498" s="113" t="s">
        <v>29</v>
      </c>
    </row>
    <row r="3499" spans="1:2" x14ac:dyDescent="0.3">
      <c r="A3499" s="113" t="s">
        <v>46</v>
      </c>
      <c r="B3499" s="113" t="s">
        <v>29</v>
      </c>
    </row>
    <row r="3500" spans="1:2" x14ac:dyDescent="0.3">
      <c r="A3500" s="113" t="s">
        <v>5585</v>
      </c>
      <c r="B3500" s="113" t="s">
        <v>17</v>
      </c>
    </row>
    <row r="3501" spans="1:2" x14ac:dyDescent="0.3">
      <c r="A3501" s="113" t="s">
        <v>3559</v>
      </c>
      <c r="B3501" s="113" t="s">
        <v>17</v>
      </c>
    </row>
    <row r="3502" spans="1:2" x14ac:dyDescent="0.3">
      <c r="A3502" s="113" t="s">
        <v>39</v>
      </c>
      <c r="B3502" s="113" t="s">
        <v>29</v>
      </c>
    </row>
    <row r="3503" spans="1:2" x14ac:dyDescent="0.3">
      <c r="A3503" s="113" t="s">
        <v>46</v>
      </c>
      <c r="B3503" s="113" t="s">
        <v>29</v>
      </c>
    </row>
    <row r="3504" spans="1:2" x14ac:dyDescent="0.3">
      <c r="A3504" s="113" t="s">
        <v>30</v>
      </c>
      <c r="B3504" s="113" t="s">
        <v>17</v>
      </c>
    </row>
    <row r="3505" spans="1:2" x14ac:dyDescent="0.3">
      <c r="A3505" s="113" t="s">
        <v>71</v>
      </c>
      <c r="B3505" s="113" t="s">
        <v>17</v>
      </c>
    </row>
    <row r="3506" spans="1:2" x14ac:dyDescent="0.3">
      <c r="A3506" s="113" t="s">
        <v>39</v>
      </c>
      <c r="B3506" s="113" t="s">
        <v>29</v>
      </c>
    </row>
    <row r="3507" spans="1:2" x14ac:dyDescent="0.3">
      <c r="A3507" s="113" t="s">
        <v>46</v>
      </c>
      <c r="B3507" s="113" t="s">
        <v>29</v>
      </c>
    </row>
    <row r="3508" spans="1:2" x14ac:dyDescent="0.3">
      <c r="A3508" s="113" t="s">
        <v>46</v>
      </c>
      <c r="B3508" s="113" t="s">
        <v>29</v>
      </c>
    </row>
    <row r="3509" spans="1:2" x14ac:dyDescent="0.3">
      <c r="A3509" s="113" t="s">
        <v>3559</v>
      </c>
      <c r="B3509" s="113" t="s">
        <v>17</v>
      </c>
    </row>
    <row r="3510" spans="1:2" x14ac:dyDescent="0.3">
      <c r="A3510" s="113" t="s">
        <v>30</v>
      </c>
      <c r="B3510" s="113" t="s">
        <v>17</v>
      </c>
    </row>
    <row r="3511" spans="1:2" x14ac:dyDescent="0.3">
      <c r="A3511" s="113" t="s">
        <v>87</v>
      </c>
      <c r="B3511" s="113" t="s">
        <v>17</v>
      </c>
    </row>
    <row r="3512" spans="1:2" x14ac:dyDescent="0.3">
      <c r="A3512" s="113" t="s">
        <v>104</v>
      </c>
      <c r="B3512" s="113" t="s">
        <v>115</v>
      </c>
    </row>
    <row r="3513" spans="1:2" x14ac:dyDescent="0.3">
      <c r="A3513" s="113" t="s">
        <v>68</v>
      </c>
      <c r="B3513" s="113" t="s">
        <v>17</v>
      </c>
    </row>
    <row r="3514" spans="1:2" x14ac:dyDescent="0.3">
      <c r="A3514" s="113" t="s">
        <v>30</v>
      </c>
      <c r="B3514" s="113" t="s">
        <v>17</v>
      </c>
    </row>
    <row r="3515" spans="1:2" x14ac:dyDescent="0.3">
      <c r="A3515" s="113" t="s">
        <v>14</v>
      </c>
      <c r="B3515" s="113" t="s">
        <v>15</v>
      </c>
    </row>
    <row r="3516" spans="1:2" x14ac:dyDescent="0.3">
      <c r="A3516" s="113" t="s">
        <v>87</v>
      </c>
      <c r="B3516" s="113" t="s">
        <v>17</v>
      </c>
    </row>
    <row r="3517" spans="1:2" x14ac:dyDescent="0.3">
      <c r="A3517" s="113" t="s">
        <v>3559</v>
      </c>
      <c r="B3517" s="113" t="s">
        <v>17</v>
      </c>
    </row>
    <row r="3518" spans="1:2" x14ac:dyDescent="0.3">
      <c r="A3518" s="113" t="s">
        <v>104</v>
      </c>
      <c r="B3518" s="113" t="s">
        <v>115</v>
      </c>
    </row>
    <row r="3519" spans="1:2" x14ac:dyDescent="0.3">
      <c r="A3519" s="113" t="s">
        <v>73</v>
      </c>
      <c r="B3519" s="113" t="s">
        <v>17</v>
      </c>
    </row>
    <row r="3520" spans="1:2" x14ac:dyDescent="0.3">
      <c r="A3520" s="113" t="s">
        <v>16</v>
      </c>
      <c r="B3520" s="113" t="s">
        <v>17</v>
      </c>
    </row>
    <row r="3521" spans="1:2" x14ac:dyDescent="0.3">
      <c r="A3521" s="113" t="s">
        <v>83</v>
      </c>
      <c r="B3521" s="113" t="s">
        <v>17</v>
      </c>
    </row>
    <row r="3522" spans="1:2" x14ac:dyDescent="0.3">
      <c r="A3522" s="113" t="s">
        <v>87</v>
      </c>
      <c r="B3522" s="113" t="s">
        <v>17</v>
      </c>
    </row>
    <row r="3523" spans="1:2" x14ac:dyDescent="0.3">
      <c r="A3523" s="113" t="s">
        <v>39</v>
      </c>
      <c r="B3523" s="113" t="s">
        <v>29</v>
      </c>
    </row>
    <row r="3524" spans="1:2" x14ac:dyDescent="0.3">
      <c r="A3524" s="113" t="s">
        <v>39</v>
      </c>
      <c r="B3524" s="113" t="s">
        <v>29</v>
      </c>
    </row>
    <row r="3525" spans="1:2" x14ac:dyDescent="0.3">
      <c r="A3525" s="113" t="s">
        <v>3559</v>
      </c>
      <c r="B3525" s="113" t="s">
        <v>17</v>
      </c>
    </row>
    <row r="3526" spans="1:2" x14ac:dyDescent="0.3">
      <c r="A3526" s="113" t="s">
        <v>3665</v>
      </c>
      <c r="B3526" s="113" t="s">
        <v>121</v>
      </c>
    </row>
    <row r="3527" spans="1:2" x14ac:dyDescent="0.3">
      <c r="A3527" s="113" t="s">
        <v>31</v>
      </c>
      <c r="B3527" s="113" t="s">
        <v>121</v>
      </c>
    </row>
    <row r="3528" spans="1:2" x14ac:dyDescent="0.3">
      <c r="A3528" s="113" t="s">
        <v>30</v>
      </c>
      <c r="B3528" s="113" t="s">
        <v>17</v>
      </c>
    </row>
    <row r="3529" spans="1:2" x14ac:dyDescent="0.3">
      <c r="A3529" s="113" t="s">
        <v>5637</v>
      </c>
      <c r="B3529" s="113" t="s">
        <v>115</v>
      </c>
    </row>
    <row r="3530" spans="1:2" x14ac:dyDescent="0.3">
      <c r="A3530" s="113" t="s">
        <v>18</v>
      </c>
      <c r="B3530" s="113" t="s">
        <v>115</v>
      </c>
    </row>
    <row r="3531" spans="1:2" x14ac:dyDescent="0.3">
      <c r="A3531" s="113" t="s">
        <v>30</v>
      </c>
      <c r="B3531" s="113" t="s">
        <v>17</v>
      </c>
    </row>
    <row r="3532" spans="1:2" x14ac:dyDescent="0.3">
      <c r="A3532" s="113" t="s">
        <v>3665</v>
      </c>
      <c r="B3532" s="113" t="s">
        <v>121</v>
      </c>
    </row>
    <row r="3533" spans="1:2" x14ac:dyDescent="0.3">
      <c r="A3533" s="113" t="s">
        <v>39</v>
      </c>
      <c r="B3533" s="113" t="s">
        <v>29</v>
      </c>
    </row>
    <row r="3534" spans="1:2" x14ac:dyDescent="0.3">
      <c r="A3534" s="113" t="s">
        <v>46</v>
      </c>
      <c r="B3534" s="113" t="s">
        <v>29</v>
      </c>
    </row>
    <row r="3535" spans="1:2" x14ac:dyDescent="0.3">
      <c r="A3535" s="113" t="s">
        <v>39</v>
      </c>
      <c r="B3535" s="113" t="s">
        <v>29</v>
      </c>
    </row>
    <row r="3536" spans="1:2" x14ac:dyDescent="0.3">
      <c r="A3536" s="113" t="s">
        <v>87</v>
      </c>
      <c r="B3536" s="113" t="s">
        <v>17</v>
      </c>
    </row>
    <row r="3537" spans="1:2" x14ac:dyDescent="0.3">
      <c r="A3537" s="113" t="s">
        <v>72</v>
      </c>
      <c r="B3537" s="113" t="s">
        <v>17</v>
      </c>
    </row>
    <row r="3538" spans="1:2" x14ac:dyDescent="0.3">
      <c r="A3538" s="113" t="s">
        <v>39</v>
      </c>
      <c r="B3538" s="113" t="s">
        <v>29</v>
      </c>
    </row>
    <row r="3539" spans="1:2" x14ac:dyDescent="0.3">
      <c r="A3539" s="113" t="s">
        <v>39</v>
      </c>
      <c r="B3539" s="113" t="s">
        <v>29</v>
      </c>
    </row>
    <row r="3540" spans="1:2" x14ac:dyDescent="0.3">
      <c r="A3540" s="113" t="s">
        <v>21</v>
      </c>
      <c r="B3540" s="113" t="s">
        <v>17</v>
      </c>
    </row>
    <row r="3541" spans="1:2" x14ac:dyDescent="0.3">
      <c r="A3541" s="113" t="s">
        <v>57</v>
      </c>
      <c r="B3541" s="113" t="s">
        <v>17</v>
      </c>
    </row>
    <row r="3542" spans="1:2" x14ac:dyDescent="0.3">
      <c r="A3542" s="113" t="s">
        <v>28</v>
      </c>
      <c r="B3542" s="113" t="s">
        <v>115</v>
      </c>
    </row>
    <row r="3543" spans="1:2" x14ac:dyDescent="0.3">
      <c r="A3543" s="113" t="s">
        <v>3559</v>
      </c>
      <c r="B3543" s="113" t="s">
        <v>17</v>
      </c>
    </row>
    <row r="3544" spans="1:2" x14ac:dyDescent="0.3">
      <c r="A3544" s="113" t="s">
        <v>104</v>
      </c>
      <c r="B3544" s="113" t="s">
        <v>115</v>
      </c>
    </row>
    <row r="3545" spans="1:2" x14ac:dyDescent="0.3">
      <c r="A3545" s="113" t="s">
        <v>104</v>
      </c>
      <c r="B3545" s="113" t="s">
        <v>115</v>
      </c>
    </row>
    <row r="3546" spans="1:2" x14ac:dyDescent="0.3">
      <c r="A3546" s="113" t="s">
        <v>104</v>
      </c>
      <c r="B3546" s="113" t="s">
        <v>115</v>
      </c>
    </row>
    <row r="3547" spans="1:2" x14ac:dyDescent="0.3">
      <c r="A3547" s="113" t="s">
        <v>104</v>
      </c>
      <c r="B3547" s="113" t="s">
        <v>115</v>
      </c>
    </row>
    <row r="3548" spans="1:2" x14ac:dyDescent="0.3">
      <c r="A3548" s="113" t="s">
        <v>18</v>
      </c>
      <c r="B3548" s="113" t="s">
        <v>115</v>
      </c>
    </row>
    <row r="3549" spans="1:2" x14ac:dyDescent="0.3">
      <c r="A3549" s="113" t="s">
        <v>18</v>
      </c>
      <c r="B3549" s="113" t="s">
        <v>115</v>
      </c>
    </row>
    <row r="3550" spans="1:2" x14ac:dyDescent="0.3">
      <c r="A3550" s="113" t="s">
        <v>50</v>
      </c>
      <c r="B3550" s="113" t="s">
        <v>25</v>
      </c>
    </row>
    <row r="3551" spans="1:2" x14ac:dyDescent="0.3">
      <c r="A3551" s="113" t="s">
        <v>72</v>
      </c>
      <c r="B3551" s="113" t="s">
        <v>17</v>
      </c>
    </row>
    <row r="3552" spans="1:2" x14ac:dyDescent="0.3">
      <c r="A3552" s="113" t="s">
        <v>14</v>
      </c>
      <c r="B3552" s="113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TIPO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2026-06-04T21:38:17Z</dcterms:modified>
  <cp:category/>
  <cp:contentStatus/>
</cp:coreProperties>
</file>