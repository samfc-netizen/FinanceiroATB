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54D230F2-21C2-4ACC-AEB7-617D0385574D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Planilha2" sheetId="13" state="hidden" r:id="rId9"/>
    <sheet name="Planilha1" sheetId="12" state="hidden" r:id="rId10"/>
  </sheets>
  <definedNames>
    <definedName name="_xlnm._FilterDatabase" localSheetId="1" hidden="1">' DRE  '!$A$1:$N$75</definedName>
    <definedName name="_xlnm._FilterDatabase" localSheetId="9" hidden="1">Planilha1!$A$1:$M$41</definedName>
  </definedNames>
  <calcPr calcId="18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0" i="11" l="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<sst xmlns="http://schemas.openxmlformats.org/spreadsheetml/2006/main" count="48153" uniqueCount="5373">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</sst>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  <xf numFmtId="4" fontId="0" fillId="0" borderId="5" xfId="0" applyNumberFormat="1" applyBorder="1"/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2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4">
      <pivotArea outline="0" collapsedLevelsAreSubtotals="1" fieldPosition="0"/>
    </format>
    <format dxfId="53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6">
      <pivotArea outline="0" collapsedLevelsAreSubtotals="1" fieldPosition="0"/>
    </format>
    <format dxfId="55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354" totalsRowShown="0" dataDxfId="31" dataCellStyle="Moeda">
  <autoFilter ref="A1:S3354" xr:uid="{00000000-0009-0000-0100-000001000000}"/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5" t="s">
        <v>2</v>
      </c>
      <c r="F3" s="95"/>
      <c r="G3" s="95"/>
      <c r="L3" s="95" t="s">
        <v>3</v>
      </c>
      <c r="M3" s="95"/>
      <c r="N3" s="95"/>
      <c r="Z3" s="95" t="s">
        <v>4</v>
      </c>
      <c r="AA3" s="95"/>
      <c r="AB3" s="95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5" t="s">
        <v>13</v>
      </c>
      <c r="T4" s="95"/>
      <c r="U4" s="95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6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8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8">
        <f>SUM(C2:N2)</f>
        <v>8992693.2699999996</v>
      </c>
      <c r="P2" s="68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9">
        <f>SUM(C3:N3)</f>
        <v>5880014.6200000001</v>
      </c>
      <c r="P3" s="69">
        <f t="shared" ref="P3:P66" si="0">O3/12</f>
        <v>490001.21833333332</v>
      </c>
    </row>
    <row r="4" spans="1:16" ht="17.399999999999999" customHeight="1" x14ac:dyDescent="0.35">
      <c r="A4" s="99" t="s">
        <v>113</v>
      </c>
      <c r="B4" s="98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70">
        <f>SUM(C4:N4)</f>
        <v>3112678.6500000008</v>
      </c>
      <c r="P4" s="70">
        <f t="shared" si="0"/>
        <v>259389.88750000007</v>
      </c>
    </row>
    <row r="5" spans="1:16" ht="17.399999999999999" customHeight="1" x14ac:dyDescent="0.35">
      <c r="A5" s="99"/>
      <c r="B5" s="98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1">
        <f>IFERROR(O4/O2,0)</f>
        <v>0.34613419545666335</v>
      </c>
      <c r="P5" s="71">
        <f>IFERROR(P4/P2,0)</f>
        <v>0.3461341954566633</v>
      </c>
    </row>
    <row r="6" spans="1:16" ht="21" x14ac:dyDescent="0.35">
      <c r="A6" s="19" t="s">
        <v>111</v>
      </c>
      <c r="B6" s="100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2">
        <f>SUM(C6:N6)</f>
        <v>256709.33</v>
      </c>
      <c r="P6" s="72">
        <f t="shared" si="0"/>
        <v>21392.444166666664</v>
      </c>
    </row>
    <row r="7" spans="1:16" ht="21" x14ac:dyDescent="0.35">
      <c r="A7" s="19" t="s">
        <v>116</v>
      </c>
      <c r="B7" s="100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3">
        <f>IFERROR(O6/O2,0)</f>
        <v>2.8546434565537005E-2</v>
      </c>
      <c r="P7" s="73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4">
        <f>SUM(C8:N8)</f>
        <v>16710.850000000002</v>
      </c>
      <c r="P8" s="74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4">
        <f t="shared" ref="O9:O26" si="7">SUM(C9:N9)</f>
        <v>6734.49</v>
      </c>
      <c r="P9" s="74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4">
        <f t="shared" si="7"/>
        <v>1019.5</v>
      </c>
      <c r="P10" s="74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4">
        <f t="shared" si="7"/>
        <v>6022</v>
      </c>
      <c r="P11" s="74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4">
        <f t="shared" si="7"/>
        <v>1119.1199999999999</v>
      </c>
      <c r="P12" s="74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4">
        <f t="shared" si="7"/>
        <v>599.81999999999994</v>
      </c>
      <c r="P13" s="74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4">
        <f t="shared" si="7"/>
        <v>1457.48</v>
      </c>
      <c r="P14" s="74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4">
        <f t="shared" si="7"/>
        <v>4382.76</v>
      </c>
      <c r="P15" s="74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4">
        <f t="shared" si="7"/>
        <v>1762.6800000000003</v>
      </c>
      <c r="P16" s="74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4">
        <f t="shared" si="7"/>
        <v>6352.4</v>
      </c>
      <c r="P17" s="74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4">
        <f t="shared" si="7"/>
        <v>186871.31</v>
      </c>
      <c r="P18" s="74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4">
        <f t="shared" si="7"/>
        <v>5448.33</v>
      </c>
      <c r="P19" s="74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4">
        <f t="shared" si="7"/>
        <v>6078.76</v>
      </c>
      <c r="P20" s="74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4">
        <f t="shared" si="7"/>
        <v>3807.15</v>
      </c>
      <c r="P21" s="74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4">
        <f t="shared" si="7"/>
        <v>700</v>
      </c>
      <c r="P22" s="74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4">
        <f t="shared" si="7"/>
        <v>3352.3</v>
      </c>
      <c r="P23" s="74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4">
        <f t="shared" si="7"/>
        <v>1100</v>
      </c>
      <c r="P24" s="74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4">
        <f t="shared" si="7"/>
        <v>2214.4700000000003</v>
      </c>
      <c r="P25" s="74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4">
        <f t="shared" si="7"/>
        <v>975.91</v>
      </c>
      <c r="P26" s="74">
        <f t="shared" si="0"/>
        <v>81.325833333333335</v>
      </c>
    </row>
    <row r="27" spans="1:16" ht="21" x14ac:dyDescent="0.35">
      <c r="A27" s="19" t="s">
        <v>111</v>
      </c>
      <c r="B27" s="101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2">
        <f>SUM(C27:N27)</f>
        <v>130886.70999999999</v>
      </c>
      <c r="P27" s="72">
        <f t="shared" si="0"/>
        <v>10907.225833333332</v>
      </c>
    </row>
    <row r="28" spans="1:16" ht="21" x14ac:dyDescent="0.35">
      <c r="A28" s="19" t="s">
        <v>116</v>
      </c>
      <c r="B28" s="102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5">
        <f>IFERROR(O27/O2,0)</f>
        <v>1.4554784208713482E-2</v>
      </c>
      <c r="P28" s="75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4">
        <f>SUM(C29:N29)</f>
        <v>25913.14</v>
      </c>
      <c r="P29" s="74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4">
        <f t="shared" ref="O30:O34" si="10">SUM(C30:N30)</f>
        <v>3975.75</v>
      </c>
      <c r="P30" s="74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4">
        <f t="shared" si="10"/>
        <v>752.5</v>
      </c>
      <c r="P31" s="74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4">
        <f t="shared" si="10"/>
        <v>722.16000000000008</v>
      </c>
      <c r="P32" s="74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4">
        <f t="shared" si="10"/>
        <v>5772.0800000000008</v>
      </c>
      <c r="P33" s="74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4">
        <f t="shared" si="10"/>
        <v>93751.080000000016</v>
      </c>
      <c r="P34" s="74">
        <f t="shared" si="0"/>
        <v>7812.5900000000011</v>
      </c>
    </row>
    <row r="35" spans="1:16" ht="21" x14ac:dyDescent="0.35">
      <c r="A35" s="19" t="s">
        <v>111</v>
      </c>
      <c r="B35" s="103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2">
        <f>SUM(C35:N35)</f>
        <v>181996.09</v>
      </c>
      <c r="P35" s="72">
        <f t="shared" si="0"/>
        <v>15166.340833333334</v>
      </c>
    </row>
    <row r="36" spans="1:16" ht="21" x14ac:dyDescent="0.35">
      <c r="A36" s="19" t="s">
        <v>116</v>
      </c>
      <c r="B36" s="103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3">
        <f t="shared" si="12"/>
        <v>2.0238218355244759E-2</v>
      </c>
      <c r="P36" s="73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4">
        <f>SUM(C37:N37)</f>
        <v>172.7</v>
      </c>
      <c r="P37" s="74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4">
        <f t="shared" ref="O38:O92" si="13">SUM(C38:N38)</f>
        <v>181823.39</v>
      </c>
      <c r="P38" s="74">
        <f t="shared" si="0"/>
        <v>15151.949166666667</v>
      </c>
    </row>
    <row r="39" spans="1:16" ht="21" x14ac:dyDescent="0.35">
      <c r="A39" s="19" t="s">
        <v>111</v>
      </c>
      <c r="B39" s="103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2">
        <f t="shared" si="13"/>
        <v>325491.00000000006</v>
      </c>
      <c r="P39" s="72">
        <f t="shared" si="0"/>
        <v>27124.250000000004</v>
      </c>
    </row>
    <row r="40" spans="1:16" ht="21" x14ac:dyDescent="0.3">
      <c r="A40" s="19" t="s">
        <v>116</v>
      </c>
      <c r="B40" s="103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6">
        <f t="shared" si="15"/>
        <v>3.6195051941319029E-2</v>
      </c>
      <c r="P40" s="76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4">
        <f t="shared" si="13"/>
        <v>270</v>
      </c>
      <c r="P41" s="74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4">
        <f t="shared" si="13"/>
        <v>45075</v>
      </c>
      <c r="P42" s="74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4">
        <f t="shared" si="13"/>
        <v>1351.12</v>
      </c>
      <c r="P43" s="74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4">
        <f t="shared" si="13"/>
        <v>16076.99</v>
      </c>
      <c r="P44" s="74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4">
        <f t="shared" si="13"/>
        <v>420</v>
      </c>
      <c r="P45" s="74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4">
        <f t="shared" si="13"/>
        <v>27.57</v>
      </c>
      <c r="P46" s="74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4">
        <f t="shared" si="13"/>
        <v>54454</v>
      </c>
      <c r="P47" s="74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4">
        <f t="shared" si="13"/>
        <v>3645.92</v>
      </c>
      <c r="P48" s="74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4">
        <f t="shared" si="13"/>
        <v>11000</v>
      </c>
      <c r="P49" s="74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4">
        <f t="shared" si="13"/>
        <v>5900</v>
      </c>
      <c r="P50" s="74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4">
        <f t="shared" si="13"/>
        <v>1251.1499999999999</v>
      </c>
      <c r="P51" s="74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4">
        <f t="shared" si="13"/>
        <v>1400</v>
      </c>
      <c r="P52" s="74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4">
        <f t="shared" si="13"/>
        <v>698.4</v>
      </c>
      <c r="P53" s="74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4">
        <f t="shared" si="13"/>
        <v>4951.5199999999995</v>
      </c>
      <c r="P54" s="74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4">
        <f t="shared" si="13"/>
        <v>153.75</v>
      </c>
      <c r="P55" s="74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4">
        <f t="shared" si="13"/>
        <v>2415</v>
      </c>
      <c r="P56" s="74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4">
        <f t="shared" si="13"/>
        <v>25018.53</v>
      </c>
      <c r="P57" s="74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4">
        <f t="shared" si="13"/>
        <v>4007.24</v>
      </c>
      <c r="P58" s="74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4">
        <f t="shared" si="13"/>
        <v>27.02</v>
      </c>
      <c r="P59" s="74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4">
        <f t="shared" si="13"/>
        <v>5350.04</v>
      </c>
      <c r="P60" s="74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4">
        <f t="shared" si="13"/>
        <v>220</v>
      </c>
      <c r="P61" s="74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4">
        <f t="shared" si="13"/>
        <v>210</v>
      </c>
      <c r="P62" s="74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4">
        <f t="shared" si="13"/>
        <v>20</v>
      </c>
      <c r="P63" s="74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4">
        <f t="shared" si="13"/>
        <v>19139</v>
      </c>
      <c r="P64" s="74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4">
        <f t="shared" si="13"/>
        <v>9563.7999999999993</v>
      </c>
      <c r="P65" s="74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4">
        <f t="shared" si="13"/>
        <v>11564.05</v>
      </c>
      <c r="P66" s="74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4">
        <f t="shared" si="13"/>
        <v>13086.87</v>
      </c>
      <c r="P67" s="74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4">
        <f t="shared" si="13"/>
        <v>14527.610000000002</v>
      </c>
      <c r="P68" s="74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4">
        <f t="shared" si="13"/>
        <v>4767.6999999999989</v>
      </c>
      <c r="P69" s="74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4">
        <f t="shared" si="13"/>
        <v>12835.8</v>
      </c>
      <c r="P70" s="74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4">
        <f t="shared" si="13"/>
        <v>4734.5</v>
      </c>
      <c r="P71" s="74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4">
        <f t="shared" si="13"/>
        <v>4578.92</v>
      </c>
      <c r="P72" s="74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4">
        <f t="shared" si="13"/>
        <v>5059.76</v>
      </c>
      <c r="P73" s="74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4">
        <f t="shared" si="13"/>
        <v>2668.7</v>
      </c>
      <c r="P74" s="74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4">
        <f t="shared" si="13"/>
        <v>531.89</v>
      </c>
      <c r="P75" s="74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4">
        <f t="shared" si="13"/>
        <v>5271.02</v>
      </c>
      <c r="P76" s="74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4">
        <f t="shared" si="13"/>
        <v>20943.949999999997</v>
      </c>
      <c r="P77" s="74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4">
        <f t="shared" si="13"/>
        <v>83.5</v>
      </c>
      <c r="P78" s="74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4">
        <f t="shared" si="13"/>
        <v>4950.03</v>
      </c>
      <c r="P79" s="74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4">
        <f t="shared" si="13"/>
        <v>666.84</v>
      </c>
      <c r="P80" s="74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4">
        <f t="shared" si="13"/>
        <v>803.71</v>
      </c>
      <c r="P81" s="74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4">
        <f t="shared" si="13"/>
        <v>483.84</v>
      </c>
      <c r="P82" s="74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4">
        <f t="shared" si="13"/>
        <v>1666.26</v>
      </c>
      <c r="P83" s="74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4">
        <f t="shared" si="13"/>
        <v>3000</v>
      </c>
      <c r="P84" s="74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4">
        <f t="shared" si="13"/>
        <v>280</v>
      </c>
      <c r="P85" s="74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4">
        <f t="shared" si="13"/>
        <v>340</v>
      </c>
      <c r="P86" s="74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4">
        <f t="shared" si="13"/>
        <v>0</v>
      </c>
      <c r="P87" s="74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4">
        <f t="shared" si="13"/>
        <v>0</v>
      </c>
      <c r="P88" s="74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4">
        <f t="shared" si="13"/>
        <v>0</v>
      </c>
      <c r="P89" s="74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4">
        <f t="shared" si="13"/>
        <v>0</v>
      </c>
      <c r="P90" s="74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4">
        <f t="shared" si="13"/>
        <v>0</v>
      </c>
      <c r="P91" s="74">
        <f t="shared" si="16"/>
        <v>0</v>
      </c>
    </row>
    <row r="92" spans="1:16" ht="15.6" customHeight="1" x14ac:dyDescent="0.35">
      <c r="A92" s="27" t="s">
        <v>113</v>
      </c>
      <c r="B92" s="96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70">
        <f t="shared" si="13"/>
        <v>2217595.5199999996</v>
      </c>
      <c r="P92" s="74">
        <f t="shared" si="16"/>
        <v>184799.62666666662</v>
      </c>
    </row>
    <row r="93" spans="1:16" ht="15.6" customHeight="1" x14ac:dyDescent="0.35">
      <c r="A93" s="27" t="s">
        <v>116</v>
      </c>
      <c r="B93" s="97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7">
        <f t="shared" si="18"/>
        <v>0.24659970638584894</v>
      </c>
      <c r="P93" s="77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90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80" t="s">
        <v>4260</v>
      </c>
      <c r="P1" s="80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1">
        <f>SUM(C2:N2)</f>
        <v>8605938.3099999987</v>
      </c>
      <c r="P2" s="81">
        <f>O2/12</f>
        <v>717161.52583333326</v>
      </c>
    </row>
    <row r="3" spans="1:16" x14ac:dyDescent="0.4">
      <c r="A3" s="19" t="s">
        <v>111</v>
      </c>
      <c r="B3" s="100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2">
        <f>SUM(C3:N3)</f>
        <v>256709.33</v>
      </c>
      <c r="P3" s="82">
        <f t="shared" ref="P3:P66" si="1">O3/12</f>
        <v>21392.444166666664</v>
      </c>
    </row>
    <row r="4" spans="1:16" x14ac:dyDescent="0.4">
      <c r="A4" s="19" t="s">
        <v>116</v>
      </c>
      <c r="B4" s="100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3">
        <f t="shared" si="2"/>
        <v>2.9829324909487996E-2</v>
      </c>
      <c r="P4" s="83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4">
        <f>SUM(C5:N5)</f>
        <v>16710.850000000002</v>
      </c>
      <c r="P5" s="84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4">
        <f t="shared" ref="O6:O69" si="3">SUM(C6:N6)</f>
        <v>6734.49</v>
      </c>
      <c r="P6" s="84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4">
        <f t="shared" si="3"/>
        <v>1019.5</v>
      </c>
      <c r="P7" s="84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4">
        <f t="shared" si="3"/>
        <v>6022</v>
      </c>
      <c r="P8" s="84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4">
        <f t="shared" si="3"/>
        <v>1119.1199999999999</v>
      </c>
      <c r="P9" s="84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4">
        <f t="shared" si="3"/>
        <v>599.81999999999994</v>
      </c>
      <c r="P10" s="84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4">
        <f t="shared" si="3"/>
        <v>1457.48</v>
      </c>
      <c r="P11" s="84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4">
        <f t="shared" si="3"/>
        <v>4382.76</v>
      </c>
      <c r="P12" s="84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4">
        <f t="shared" si="3"/>
        <v>1762.6800000000003</v>
      </c>
      <c r="P13" s="84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4">
        <f t="shared" si="3"/>
        <v>6352.4</v>
      </c>
      <c r="P14" s="84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4">
        <f t="shared" si="3"/>
        <v>186871.31</v>
      </c>
      <c r="P15" s="84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4">
        <f t="shared" si="3"/>
        <v>5448.33</v>
      </c>
      <c r="P16" s="84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4">
        <f t="shared" si="3"/>
        <v>6078.76</v>
      </c>
      <c r="P17" s="84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4">
        <f t="shared" si="3"/>
        <v>3807.15</v>
      </c>
      <c r="P18" s="84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4">
        <f t="shared" si="3"/>
        <v>700</v>
      </c>
      <c r="P19" s="84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4">
        <f t="shared" si="3"/>
        <v>3352.3</v>
      </c>
      <c r="P20" s="84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4">
        <f t="shared" si="3"/>
        <v>1100</v>
      </c>
      <c r="P21" s="84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4">
        <f t="shared" si="3"/>
        <v>2214.4700000000003</v>
      </c>
      <c r="P22" s="84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4">
        <f t="shared" si="3"/>
        <v>975.91</v>
      </c>
      <c r="P23" s="84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4"/>
      <c r="P24" s="84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80"/>
      <c r="P25" s="80"/>
    </row>
    <row r="26" spans="1:16" x14ac:dyDescent="0.4">
      <c r="A26" s="19" t="s">
        <v>111</v>
      </c>
      <c r="B26" s="100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2">
        <f t="shared" si="3"/>
        <v>130886.70999999999</v>
      </c>
      <c r="P26" s="82">
        <f t="shared" si="1"/>
        <v>10907.225833333332</v>
      </c>
    </row>
    <row r="27" spans="1:16" x14ac:dyDescent="0.4">
      <c r="A27" s="19" t="s">
        <v>116</v>
      </c>
      <c r="B27" s="100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5">
        <f t="shared" si="5"/>
        <v>1.5208883132233376E-2</v>
      </c>
      <c r="P27" s="85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4">
        <f t="shared" si="3"/>
        <v>25913.14</v>
      </c>
      <c r="P28" s="84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4">
        <f t="shared" si="3"/>
        <v>3975.75</v>
      </c>
      <c r="P29" s="84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4">
        <f t="shared" si="3"/>
        <v>752.5</v>
      </c>
      <c r="P30" s="84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4">
        <f t="shared" si="3"/>
        <v>722.16000000000008</v>
      </c>
      <c r="P31" s="84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4">
        <f t="shared" si="3"/>
        <v>5772.0800000000008</v>
      </c>
      <c r="P32" s="84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4">
        <f t="shared" si="3"/>
        <v>93751.080000000016</v>
      </c>
      <c r="P33" s="84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80"/>
      <c r="P34" s="80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80"/>
      <c r="P35" s="80"/>
    </row>
    <row r="36" spans="1:16" x14ac:dyDescent="0.4">
      <c r="A36" s="19" t="s">
        <v>111</v>
      </c>
      <c r="B36" s="100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2">
        <f t="shared" si="3"/>
        <v>181996.09</v>
      </c>
      <c r="P36" s="82">
        <f t="shared" si="1"/>
        <v>15166.340833333334</v>
      </c>
    </row>
    <row r="37" spans="1:16" x14ac:dyDescent="0.4">
      <c r="A37" s="19" t="s">
        <v>116</v>
      </c>
      <c r="B37" s="100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3">
        <f>IFERROR(O36/O2,0)</f>
        <v>2.1147733511931253E-2</v>
      </c>
      <c r="P37" s="83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4">
        <f t="shared" si="3"/>
        <v>172.7</v>
      </c>
      <c r="P38" s="84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4">
        <f t="shared" si="3"/>
        <v>181823.39</v>
      </c>
      <c r="P39" s="84">
        <f t="shared" si="1"/>
        <v>15151.949166666667</v>
      </c>
    </row>
    <row r="40" spans="1:16" x14ac:dyDescent="0.4">
      <c r="A40" s="19" t="s">
        <v>111</v>
      </c>
      <c r="B40" s="100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2">
        <f t="shared" si="3"/>
        <v>325491.00000000006</v>
      </c>
      <c r="P40" s="82">
        <f t="shared" si="1"/>
        <v>27124.250000000004</v>
      </c>
    </row>
    <row r="41" spans="1:16" x14ac:dyDescent="0.3">
      <c r="A41" s="19" t="s">
        <v>116</v>
      </c>
      <c r="B41" s="100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6">
        <f t="shared" si="9"/>
        <v>3.7821674787255143E-2</v>
      </c>
      <c r="P41" s="86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4">
        <f t="shared" si="3"/>
        <v>270</v>
      </c>
      <c r="P42" s="84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4">
        <f t="shared" si="3"/>
        <v>45075</v>
      </c>
      <c r="P43" s="84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4">
        <f t="shared" si="3"/>
        <v>1351.12</v>
      </c>
      <c r="P44" s="84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4">
        <f t="shared" si="3"/>
        <v>16076.99</v>
      </c>
      <c r="P45" s="84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4">
        <f t="shared" si="3"/>
        <v>420</v>
      </c>
      <c r="P46" s="84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4">
        <f t="shared" si="3"/>
        <v>27.57</v>
      </c>
      <c r="P47" s="84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4">
        <f t="shared" si="3"/>
        <v>54454</v>
      </c>
      <c r="P48" s="84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4">
        <f t="shared" si="3"/>
        <v>3645.92</v>
      </c>
      <c r="P49" s="84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4">
        <f t="shared" si="3"/>
        <v>11000</v>
      </c>
      <c r="P50" s="84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4">
        <f t="shared" si="3"/>
        <v>5900</v>
      </c>
      <c r="P51" s="84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4">
        <f t="shared" si="3"/>
        <v>1251.1499999999999</v>
      </c>
      <c r="P52" s="84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4">
        <f t="shared" si="3"/>
        <v>1400</v>
      </c>
      <c r="P53" s="84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4">
        <f t="shared" si="3"/>
        <v>698.4</v>
      </c>
      <c r="P54" s="84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4">
        <f t="shared" si="3"/>
        <v>4951.5199999999995</v>
      </c>
      <c r="P55" s="84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4">
        <f t="shared" si="3"/>
        <v>153.75</v>
      </c>
      <c r="P56" s="84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4">
        <f t="shared" si="3"/>
        <v>2415</v>
      </c>
      <c r="P57" s="84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4">
        <f t="shared" si="3"/>
        <v>25018.53</v>
      </c>
      <c r="P58" s="84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4">
        <f t="shared" si="3"/>
        <v>4007.24</v>
      </c>
      <c r="P59" s="84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4">
        <f t="shared" si="3"/>
        <v>27.02</v>
      </c>
      <c r="P60" s="84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4">
        <f t="shared" si="3"/>
        <v>5350.04</v>
      </c>
      <c r="P61" s="84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4">
        <f t="shared" si="3"/>
        <v>220</v>
      </c>
      <c r="P62" s="84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4">
        <f t="shared" si="3"/>
        <v>210</v>
      </c>
      <c r="P63" s="84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4">
        <f t="shared" si="3"/>
        <v>20</v>
      </c>
      <c r="P64" s="84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4">
        <f t="shared" si="3"/>
        <v>19139</v>
      </c>
      <c r="P65" s="84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4">
        <f t="shared" si="3"/>
        <v>9563.7999999999993</v>
      </c>
      <c r="P66" s="84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4">
        <f t="shared" si="3"/>
        <v>11564.05</v>
      </c>
      <c r="P67" s="84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4">
        <f t="shared" si="3"/>
        <v>13086.87</v>
      </c>
      <c r="P68" s="84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4">
        <f t="shared" si="3"/>
        <v>14527.610000000002</v>
      </c>
      <c r="P69" s="84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4">
        <f t="shared" ref="O70:O113" si="11">SUM(C70:N70)</f>
        <v>4767.6999999999989</v>
      </c>
      <c r="P70" s="84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4">
        <f t="shared" si="11"/>
        <v>12835.8</v>
      </c>
      <c r="P71" s="84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4">
        <f t="shared" si="11"/>
        <v>4734.5</v>
      </c>
      <c r="P72" s="84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4">
        <f t="shared" si="11"/>
        <v>4578.92</v>
      </c>
      <c r="P73" s="84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4">
        <f t="shared" si="11"/>
        <v>5059.76</v>
      </c>
      <c r="P74" s="84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4">
        <f t="shared" si="11"/>
        <v>2668.7</v>
      </c>
      <c r="P75" s="84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4">
        <f t="shared" si="11"/>
        <v>531.89</v>
      </c>
      <c r="P76" s="84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4">
        <f t="shared" si="11"/>
        <v>5271.02</v>
      </c>
      <c r="P77" s="84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4">
        <f t="shared" si="11"/>
        <v>20943.949999999997</v>
      </c>
      <c r="P78" s="84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4">
        <f t="shared" si="11"/>
        <v>83.5</v>
      </c>
      <c r="P79" s="84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4">
        <f t="shared" si="11"/>
        <v>4950.03</v>
      </c>
      <c r="P80" s="84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4">
        <f t="shared" si="11"/>
        <v>666.84</v>
      </c>
      <c r="P81" s="84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4">
        <f t="shared" si="11"/>
        <v>803.71</v>
      </c>
      <c r="P82" s="84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4">
        <f t="shared" si="11"/>
        <v>483.84</v>
      </c>
      <c r="P83" s="84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4">
        <f t="shared" si="11"/>
        <v>1666.26</v>
      </c>
      <c r="P84" s="84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4">
        <f t="shared" si="11"/>
        <v>3000</v>
      </c>
      <c r="P85" s="84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4">
        <f t="shared" si="11"/>
        <v>280</v>
      </c>
      <c r="P86" s="84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4">
        <f t="shared" si="11"/>
        <v>340</v>
      </c>
      <c r="P87" s="84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80"/>
      <c r="P88" s="80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80"/>
      <c r="P89" s="80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80"/>
      <c r="P90" s="80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80"/>
      <c r="P91" s="80"/>
    </row>
    <row r="92" spans="1:16" x14ac:dyDescent="0.4">
      <c r="A92" s="19" t="s">
        <v>111</v>
      </c>
      <c r="B92" s="104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7">
        <f t="shared" si="11"/>
        <v>616539.12000000011</v>
      </c>
      <c r="P92" s="87">
        <f t="shared" si="10"/>
        <v>51378.260000000009</v>
      </c>
    </row>
    <row r="93" spans="1:16" x14ac:dyDescent="0.4">
      <c r="A93" s="19" t="s">
        <v>120</v>
      </c>
      <c r="B93" s="104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8">
        <f t="shared" si="13"/>
        <v>7.1641127067293628E-2</v>
      </c>
      <c r="P93" s="88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4">
        <f t="shared" si="11"/>
        <v>616539.12000000011</v>
      </c>
      <c r="P94" s="84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80"/>
      <c r="P95" s="80"/>
    </row>
    <row r="96" spans="1:16" x14ac:dyDescent="0.4">
      <c r="A96" s="19" t="s">
        <v>111</v>
      </c>
      <c r="B96" s="105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2">
        <f t="shared" si="11"/>
        <v>6955714.5599999996</v>
      </c>
      <c r="P96" s="82">
        <f t="shared" si="10"/>
        <v>579642.88</v>
      </c>
    </row>
    <row r="97" spans="1:16" x14ac:dyDescent="0.4">
      <c r="A97" s="19" t="s">
        <v>120</v>
      </c>
      <c r="B97" s="106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8">
        <f t="shared" si="15"/>
        <v>0.80824592385440897</v>
      </c>
      <c r="P97" s="88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4">
        <f t="shared" si="11"/>
        <v>124447.81</v>
      </c>
      <c r="P98" s="84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4">
        <f t="shared" si="11"/>
        <v>10458.140000000001</v>
      </c>
      <c r="P99" s="84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4">
        <f t="shared" si="11"/>
        <v>41740</v>
      </c>
      <c r="P100" s="84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4">
        <f t="shared" si="11"/>
        <v>2204387.9</v>
      </c>
      <c r="P101" s="84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7">
        <v>0</v>
      </c>
      <c r="O102" s="84">
        <f t="shared" si="11"/>
        <v>3583308.15</v>
      </c>
      <c r="P102" s="84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4">
        <f t="shared" si="11"/>
        <v>8579.119999999999</v>
      </c>
      <c r="P103" s="84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4">
        <f t="shared" si="11"/>
        <v>141.55000000000001</v>
      </c>
      <c r="P104" s="84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4">
        <f t="shared" si="11"/>
        <v>942767.78</v>
      </c>
      <c r="P105" s="84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4">
        <f t="shared" si="11"/>
        <v>39884.11</v>
      </c>
      <c r="P106" s="84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9">
        <v>0</v>
      </c>
      <c r="P107" s="89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9">
        <v>0</v>
      </c>
      <c r="P108" s="89">
        <v>0</v>
      </c>
    </row>
    <row r="109" spans="1:16" ht="21.6" thickBot="1" x14ac:dyDescent="0.45"/>
    <row r="110" spans="1:16" x14ac:dyDescent="0.4">
      <c r="A110" s="35" t="s">
        <v>113</v>
      </c>
      <c r="B110" s="109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1">
        <f t="shared" si="11"/>
        <v>755140.61999999918</v>
      </c>
      <c r="P110" s="91">
        <f t="shared" si="10"/>
        <v>62928.384999999929</v>
      </c>
    </row>
    <row r="111" spans="1:16" ht="21.6" thickBot="1" x14ac:dyDescent="0.45">
      <c r="A111" s="38" t="s">
        <v>120</v>
      </c>
      <c r="B111" s="110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2">
        <f t="shared" si="17"/>
        <v>8.7746459804683319E-2</v>
      </c>
      <c r="P111" s="92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7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1">
        <f t="shared" si="11"/>
        <v>138601.49999999942</v>
      </c>
      <c r="P113" s="91">
        <f t="shared" si="10"/>
        <v>11550.124999999951</v>
      </c>
    </row>
    <row r="114" spans="1:16" ht="21.6" thickBot="1" x14ac:dyDescent="0.45">
      <c r="A114" s="39" t="s">
        <v>120</v>
      </c>
      <c r="B114" s="108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3">
        <f t="shared" si="19"/>
        <v>1.6105332737389729E-2</v>
      </c>
      <c r="P114" s="93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354"/>
  <sheetViews>
    <sheetView tabSelected="1" topLeftCell="G3331" workbookViewId="0">
      <selection activeCell="K3346" sqref="K3346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64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64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64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64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64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64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64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64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64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64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64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64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64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64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64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64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64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64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64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64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64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64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64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64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64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64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64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64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64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64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64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64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64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64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64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64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64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64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64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64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64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64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64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64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64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64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64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64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64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64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64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64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64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64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64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64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64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64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64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64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64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64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64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64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64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64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64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64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64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64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64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64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64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64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64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64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64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64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64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64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64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64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64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64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64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64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64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64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64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64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64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64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64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64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64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64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64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64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64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64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64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64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64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64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64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64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64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64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64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64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64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64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64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64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64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64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64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64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64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64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64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64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64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64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64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64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64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64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64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64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64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64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64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64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64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64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64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64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64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64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64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64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64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64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64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64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64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64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64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64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64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64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64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64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64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64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64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64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64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64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64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64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64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64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64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64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64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64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64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64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64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64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64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64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64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64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64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64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64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64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64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64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64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64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64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64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64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64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64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64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64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64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64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64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64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64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64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64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64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64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64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64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64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64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64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64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64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64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64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64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64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64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64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64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64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64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64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64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64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64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64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64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64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64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64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64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64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64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64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64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64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64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64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5">
        <v>2965</v>
      </c>
      <c r="P2379" s="65">
        <v>0</v>
      </c>
      <c r="Q2379" s="65">
        <v>0</v>
      </c>
      <c r="R2379" s="65">
        <v>2965</v>
      </c>
      <c r="S2379" t="s">
        <v>155</v>
      </c>
    </row>
    <row r="2380" spans="1:19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64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5">
        <v>72.98</v>
      </c>
      <c r="P2380" s="65">
        <v>0</v>
      </c>
      <c r="Q2380" s="65">
        <v>0</v>
      </c>
      <c r="R2380" s="65">
        <v>72.98</v>
      </c>
      <c r="S2380" t="s">
        <v>155</v>
      </c>
    </row>
    <row r="2381" spans="1:19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64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5">
        <v>34.99</v>
      </c>
      <c r="P2381" s="65">
        <v>0</v>
      </c>
      <c r="Q2381" s="65">
        <v>0</v>
      </c>
      <c r="R2381" s="65">
        <v>34.99</v>
      </c>
      <c r="S2381" t="s">
        <v>155</v>
      </c>
    </row>
    <row r="2382" spans="1:19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64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5">
        <v>20.53</v>
      </c>
      <c r="P2382" s="65">
        <v>0</v>
      </c>
      <c r="Q2382" s="65">
        <v>0</v>
      </c>
      <c r="R2382" s="65">
        <v>20.53</v>
      </c>
      <c r="S2382" t="s">
        <v>155</v>
      </c>
    </row>
    <row r="2383" spans="1:19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64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5">
        <v>8.5399999999999991</v>
      </c>
      <c r="P2383" s="65">
        <v>0</v>
      </c>
      <c r="Q2383" s="65">
        <v>0</v>
      </c>
      <c r="R2383" s="65">
        <v>8.5399999999999991</v>
      </c>
      <c r="S2383" t="s">
        <v>155</v>
      </c>
    </row>
    <row r="2384" spans="1:19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64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5">
        <v>64</v>
      </c>
      <c r="P2384" s="65">
        <v>0</v>
      </c>
      <c r="Q2384" s="65">
        <v>0</v>
      </c>
      <c r="R2384" s="65">
        <v>64</v>
      </c>
      <c r="S2384" t="s">
        <v>155</v>
      </c>
    </row>
    <row r="2385" spans="1:19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64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5">
        <v>1006.5</v>
      </c>
      <c r="P2385" s="65">
        <v>0</v>
      </c>
      <c r="Q2385" s="65">
        <v>0</v>
      </c>
      <c r="R2385" s="65">
        <v>1006.5</v>
      </c>
      <c r="S2385" t="s">
        <v>155</v>
      </c>
    </row>
    <row r="2386" spans="1:19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64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5">
        <v>36.99</v>
      </c>
      <c r="P2386" s="65">
        <v>0</v>
      </c>
      <c r="Q2386" s="65">
        <v>0</v>
      </c>
      <c r="R2386" s="65">
        <v>36.99</v>
      </c>
      <c r="S2386" t="s">
        <v>155</v>
      </c>
    </row>
    <row r="2387" spans="1:19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64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5">
        <v>1598.96</v>
      </c>
      <c r="P2387" s="65">
        <v>0</v>
      </c>
      <c r="Q2387" s="65">
        <v>0</v>
      </c>
      <c r="R2387" s="65">
        <v>1598.96</v>
      </c>
      <c r="S2387" t="s">
        <v>155</v>
      </c>
    </row>
    <row r="2388" spans="1:19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64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5">
        <v>24</v>
      </c>
      <c r="P2388" s="65">
        <v>0</v>
      </c>
      <c r="Q2388" s="65">
        <v>0</v>
      </c>
      <c r="R2388" s="65">
        <v>24</v>
      </c>
      <c r="S2388" t="s">
        <v>155</v>
      </c>
    </row>
    <row r="2389" spans="1:19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64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5">
        <v>150</v>
      </c>
      <c r="P2389" s="65">
        <v>0</v>
      </c>
      <c r="Q2389" s="65">
        <v>0</v>
      </c>
      <c r="R2389" s="65">
        <v>150</v>
      </c>
      <c r="S2389" t="s">
        <v>155</v>
      </c>
    </row>
    <row r="2390" spans="1:19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64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5">
        <v>474.28</v>
      </c>
      <c r="P2390" s="65">
        <v>0</v>
      </c>
      <c r="Q2390" s="65">
        <v>0</v>
      </c>
      <c r="R2390" s="65">
        <v>474.28</v>
      </c>
      <c r="S2390" t="s">
        <v>155</v>
      </c>
    </row>
    <row r="2391" spans="1:19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64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5">
        <v>12.48</v>
      </c>
      <c r="P2391" s="65">
        <v>0</v>
      </c>
      <c r="Q2391" s="65">
        <v>0</v>
      </c>
      <c r="R2391" s="65">
        <v>12.48</v>
      </c>
      <c r="S2391" t="s">
        <v>155</v>
      </c>
    </row>
    <row r="2392" spans="1:19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64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5">
        <v>8.25</v>
      </c>
      <c r="P2392" s="65">
        <v>0</v>
      </c>
      <c r="Q2392" s="65">
        <v>0</v>
      </c>
      <c r="R2392" s="65">
        <v>8.25</v>
      </c>
      <c r="S2392" t="s">
        <v>155</v>
      </c>
    </row>
    <row r="2393" spans="1:19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64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5">
        <v>3.54</v>
      </c>
      <c r="P2393" s="65">
        <v>0</v>
      </c>
      <c r="Q2393" s="65">
        <v>0</v>
      </c>
      <c r="R2393" s="65">
        <v>3.54</v>
      </c>
      <c r="S2393" t="s">
        <v>155</v>
      </c>
    </row>
    <row r="2394" spans="1:19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64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5">
        <v>20.98</v>
      </c>
      <c r="P2394" s="65">
        <v>0</v>
      </c>
      <c r="Q2394" s="65">
        <v>0</v>
      </c>
      <c r="R2394" s="65">
        <v>20.98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64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5">
        <v>20</v>
      </c>
      <c r="P2395" s="65">
        <v>0</v>
      </c>
      <c r="Q2395" s="65">
        <v>0</v>
      </c>
      <c r="R2395" s="65">
        <v>20</v>
      </c>
      <c r="S2395" t="s">
        <v>155</v>
      </c>
    </row>
    <row r="2396" spans="1:19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64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5">
        <v>35</v>
      </c>
      <c r="P2396" s="65">
        <v>0</v>
      </c>
      <c r="Q2396" s="65">
        <v>0</v>
      </c>
      <c r="R2396" s="65">
        <v>35</v>
      </c>
      <c r="S2396" t="s">
        <v>155</v>
      </c>
    </row>
    <row r="2397" spans="1:19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64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5">
        <v>46.96</v>
      </c>
      <c r="P2397" s="65">
        <v>0</v>
      </c>
      <c r="Q2397" s="65">
        <v>0</v>
      </c>
      <c r="R2397" s="65">
        <v>46.96</v>
      </c>
      <c r="S2397" t="s">
        <v>155</v>
      </c>
    </row>
    <row r="2398" spans="1:19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64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5">
        <v>23.9</v>
      </c>
      <c r="P2398" s="65">
        <v>0</v>
      </c>
      <c r="Q2398" s="65">
        <v>0</v>
      </c>
      <c r="R2398" s="65">
        <v>23.9</v>
      </c>
      <c r="S2398" t="s">
        <v>155</v>
      </c>
    </row>
    <row r="2399" spans="1:19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64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5">
        <v>150</v>
      </c>
      <c r="P2399" s="65">
        <v>0</v>
      </c>
      <c r="Q2399" s="65">
        <v>0</v>
      </c>
      <c r="R2399" s="65">
        <v>150</v>
      </c>
      <c r="S2399" t="s">
        <v>155</v>
      </c>
    </row>
    <row r="2400" spans="1:19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64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5">
        <v>100000</v>
      </c>
      <c r="P2400" s="65">
        <v>0</v>
      </c>
      <c r="Q2400" s="65">
        <v>0</v>
      </c>
      <c r="R2400" s="65">
        <v>100000</v>
      </c>
      <c r="S2400" t="s">
        <v>155</v>
      </c>
    </row>
    <row r="2401" spans="1:19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64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5">
        <v>4.8</v>
      </c>
      <c r="P2401" s="65">
        <v>0</v>
      </c>
      <c r="Q2401" s="65">
        <v>0</v>
      </c>
      <c r="R2401" s="65">
        <v>4.8</v>
      </c>
      <c r="S2401" t="s">
        <v>155</v>
      </c>
    </row>
    <row r="2402" spans="1:19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64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5">
        <v>2.1</v>
      </c>
      <c r="P2402" s="65">
        <v>0</v>
      </c>
      <c r="Q2402" s="65">
        <v>0</v>
      </c>
      <c r="R2402" s="65">
        <v>2.1</v>
      </c>
      <c r="S2402" t="s">
        <v>155</v>
      </c>
    </row>
    <row r="2403" spans="1:19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64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5">
        <v>11.88</v>
      </c>
      <c r="P2403" s="65">
        <v>0</v>
      </c>
      <c r="Q2403" s="65">
        <v>0</v>
      </c>
      <c r="R2403" s="65">
        <v>11.88</v>
      </c>
      <c r="S2403" t="s">
        <v>155</v>
      </c>
    </row>
    <row r="2404" spans="1:19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64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5">
        <v>5.5</v>
      </c>
      <c r="P2404" s="65">
        <v>0</v>
      </c>
      <c r="Q2404" s="65">
        <v>0</v>
      </c>
      <c r="R2404" s="65">
        <v>5.5</v>
      </c>
      <c r="S2404" t="s">
        <v>155</v>
      </c>
    </row>
    <row r="2405" spans="1:19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64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5">
        <v>10.62</v>
      </c>
      <c r="P2405" s="65">
        <v>0</v>
      </c>
      <c r="Q2405" s="65">
        <v>0</v>
      </c>
      <c r="R2405" s="65">
        <v>10.62</v>
      </c>
      <c r="S2405" t="s">
        <v>155</v>
      </c>
    </row>
    <row r="2406" spans="1:19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64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5">
        <v>2100</v>
      </c>
      <c r="P2406" s="65">
        <v>0</v>
      </c>
      <c r="Q2406" s="65">
        <v>0</v>
      </c>
      <c r="R2406" s="65">
        <v>2100</v>
      </c>
      <c r="S2406" t="s">
        <v>155</v>
      </c>
    </row>
    <row r="2407" spans="1:19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64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5">
        <v>70</v>
      </c>
      <c r="P2407" s="65">
        <v>0</v>
      </c>
      <c r="Q2407" s="65">
        <v>0</v>
      </c>
      <c r="R2407" s="65">
        <v>70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64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5">
        <v>100</v>
      </c>
      <c r="P2408" s="65">
        <v>0</v>
      </c>
      <c r="Q2408" s="65">
        <v>0</v>
      </c>
      <c r="R2408" s="65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64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5">
        <v>1197.5</v>
      </c>
      <c r="P2409" s="65">
        <v>0</v>
      </c>
      <c r="Q2409" s="65">
        <v>0</v>
      </c>
      <c r="R2409" s="65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64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5">
        <v>14.1</v>
      </c>
      <c r="P2410" s="65">
        <v>0</v>
      </c>
      <c r="Q2410" s="65">
        <v>0</v>
      </c>
      <c r="R2410" s="65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64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5">
        <v>100</v>
      </c>
      <c r="P2411" s="65">
        <v>0</v>
      </c>
      <c r="Q2411" s="65">
        <v>0</v>
      </c>
      <c r="R2411" s="65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64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5">
        <v>6.26</v>
      </c>
      <c r="P2412" s="65">
        <v>0</v>
      </c>
      <c r="Q2412" s="65">
        <v>0</v>
      </c>
      <c r="R2412" s="65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64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5">
        <v>500</v>
      </c>
      <c r="P2413" s="65">
        <v>0</v>
      </c>
      <c r="Q2413" s="65">
        <v>0</v>
      </c>
      <c r="R2413" s="65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64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5">
        <v>19.920000000000002</v>
      </c>
      <c r="P2414" s="65">
        <v>0</v>
      </c>
      <c r="Q2414" s="65">
        <v>0</v>
      </c>
      <c r="R2414" s="65">
        <v>19.920000000000002</v>
      </c>
      <c r="S2414" t="s">
        <v>155</v>
      </c>
    </row>
    <row r="2415" spans="1:19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64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5">
        <v>18</v>
      </c>
      <c r="P2415" s="65">
        <v>0</v>
      </c>
      <c r="Q2415" s="65">
        <v>0</v>
      </c>
      <c r="R2415" s="65">
        <v>18</v>
      </c>
      <c r="S2415" t="s">
        <v>155</v>
      </c>
    </row>
    <row r="2416" spans="1:19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64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5">
        <v>35.99</v>
      </c>
      <c r="P2416" s="65">
        <v>0</v>
      </c>
      <c r="Q2416" s="65">
        <v>0</v>
      </c>
      <c r="R2416" s="65">
        <v>35.99</v>
      </c>
      <c r="S2416" t="s">
        <v>155</v>
      </c>
    </row>
    <row r="2417" spans="1:19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64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5">
        <v>30</v>
      </c>
      <c r="P2417" s="65">
        <v>0</v>
      </c>
      <c r="Q2417" s="65">
        <v>0</v>
      </c>
      <c r="R2417" s="65">
        <v>30</v>
      </c>
      <c r="S2417" t="s">
        <v>155</v>
      </c>
    </row>
    <row r="2418" spans="1:19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64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5">
        <v>5.18</v>
      </c>
      <c r="P2418" s="65">
        <v>0</v>
      </c>
      <c r="Q2418" s="65">
        <v>0</v>
      </c>
      <c r="R2418" s="65">
        <v>5.18</v>
      </c>
      <c r="S2418" t="s">
        <v>155</v>
      </c>
    </row>
    <row r="2419" spans="1:19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64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5">
        <v>3.13</v>
      </c>
      <c r="P2419" s="65">
        <v>0</v>
      </c>
      <c r="Q2419" s="65">
        <v>0</v>
      </c>
      <c r="R2419" s="65">
        <v>3.13</v>
      </c>
      <c r="S2419" t="s">
        <v>155</v>
      </c>
    </row>
    <row r="2420" spans="1:19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64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5">
        <v>0.04</v>
      </c>
      <c r="P2420" s="65">
        <v>0</v>
      </c>
      <c r="Q2420" s="65">
        <v>0</v>
      </c>
      <c r="R2420" s="65">
        <v>0.04</v>
      </c>
      <c r="S2420" t="s">
        <v>155</v>
      </c>
    </row>
    <row r="2421" spans="1:19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64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5">
        <v>217.26</v>
      </c>
      <c r="P2421" s="65">
        <v>0</v>
      </c>
      <c r="Q2421" s="65">
        <v>0</v>
      </c>
      <c r="R2421" s="65">
        <v>217.26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64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5">
        <v>31.95</v>
      </c>
      <c r="P2422" s="65">
        <v>0</v>
      </c>
      <c r="Q2422" s="65">
        <v>0</v>
      </c>
      <c r="R2422" s="65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64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5">
        <v>31.94</v>
      </c>
      <c r="P2423" s="65">
        <v>0</v>
      </c>
      <c r="Q2423" s="65">
        <v>0</v>
      </c>
      <c r="R2423" s="65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64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5">
        <v>3000</v>
      </c>
      <c r="P2424" s="65">
        <v>0</v>
      </c>
      <c r="Q2424" s="65">
        <v>0</v>
      </c>
      <c r="R2424" s="65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64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5">
        <v>42.92</v>
      </c>
      <c r="P2425" s="65">
        <v>0</v>
      </c>
      <c r="Q2425" s="65">
        <v>0</v>
      </c>
      <c r="R2425" s="65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64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5">
        <v>35.67</v>
      </c>
      <c r="P2426" s="65">
        <v>0</v>
      </c>
      <c r="Q2426" s="65">
        <v>0</v>
      </c>
      <c r="R2426" s="65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64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5">
        <v>12.52</v>
      </c>
      <c r="P2427" s="65">
        <v>0</v>
      </c>
      <c r="Q2427" s="65">
        <v>0</v>
      </c>
      <c r="R2427" s="65">
        <v>12.52</v>
      </c>
      <c r="S2427" t="s">
        <v>155</v>
      </c>
    </row>
    <row r="2428" spans="1:19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64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5">
        <v>99.69</v>
      </c>
      <c r="P2428" s="65">
        <v>0</v>
      </c>
      <c r="Q2428" s="65">
        <v>0</v>
      </c>
      <c r="R2428" s="65">
        <v>99.69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64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5">
        <v>100</v>
      </c>
      <c r="P2429" s="65">
        <v>0</v>
      </c>
      <c r="Q2429" s="65">
        <v>0</v>
      </c>
      <c r="R2429" s="65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64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5">
        <v>245.12</v>
      </c>
      <c r="P2430" s="65">
        <v>0</v>
      </c>
      <c r="Q2430" s="65">
        <v>0</v>
      </c>
      <c r="R2430" s="65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64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5">
        <v>650</v>
      </c>
      <c r="P2431" s="65">
        <v>0</v>
      </c>
      <c r="Q2431" s="65">
        <v>0</v>
      </c>
      <c r="R2431" s="65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64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5">
        <v>1200</v>
      </c>
      <c r="P2432" s="65">
        <v>0</v>
      </c>
      <c r="Q2432" s="65">
        <v>0</v>
      </c>
      <c r="R2432" s="65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64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5">
        <v>150</v>
      </c>
      <c r="P2433" s="65">
        <v>0</v>
      </c>
      <c r="Q2433" s="65">
        <v>0</v>
      </c>
      <c r="R2433" s="65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64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5">
        <v>3.13</v>
      </c>
      <c r="P2434" s="65">
        <v>0</v>
      </c>
      <c r="Q2434" s="65">
        <v>0</v>
      </c>
      <c r="R2434" s="65">
        <v>3.13</v>
      </c>
      <c r="S2434" t="s">
        <v>155</v>
      </c>
    </row>
    <row r="2435" spans="1:19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64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5">
        <v>35</v>
      </c>
      <c r="P2435" s="65">
        <v>0</v>
      </c>
      <c r="Q2435" s="65">
        <v>0</v>
      </c>
      <c r="R2435" s="65">
        <v>35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64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5">
        <v>5.31</v>
      </c>
      <c r="P2436" s="65">
        <v>0</v>
      </c>
      <c r="Q2436" s="65">
        <v>0</v>
      </c>
      <c r="R2436" s="65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64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5">
        <v>11.88</v>
      </c>
      <c r="P2437" s="65">
        <v>0</v>
      </c>
      <c r="Q2437" s="65">
        <v>0</v>
      </c>
      <c r="R2437" s="65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64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5">
        <v>6.26</v>
      </c>
      <c r="P2438" s="65">
        <v>0</v>
      </c>
      <c r="Q2438" s="65">
        <v>0</v>
      </c>
      <c r="R2438" s="65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64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5">
        <v>3.4</v>
      </c>
      <c r="P2439" s="65">
        <v>0</v>
      </c>
      <c r="Q2439" s="65">
        <v>0</v>
      </c>
      <c r="R2439" s="65">
        <v>3.4</v>
      </c>
      <c r="S2439" t="s">
        <v>155</v>
      </c>
    </row>
    <row r="2440" spans="1:19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64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5">
        <v>4066.34</v>
      </c>
      <c r="P2440" s="65">
        <v>0</v>
      </c>
      <c r="Q2440" s="65">
        <v>0</v>
      </c>
      <c r="R2440" s="65">
        <v>4066.34</v>
      </c>
      <c r="S2440" t="s">
        <v>155</v>
      </c>
    </row>
    <row r="2441" spans="1:19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64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5">
        <v>30</v>
      </c>
      <c r="P2441" s="65">
        <v>0</v>
      </c>
      <c r="Q2441" s="65">
        <v>0</v>
      </c>
      <c r="R2441" s="65">
        <v>30</v>
      </c>
      <c r="S2441" t="s">
        <v>155</v>
      </c>
    </row>
    <row r="2442" spans="1:19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64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5">
        <v>104.5</v>
      </c>
      <c r="P2442" s="65">
        <v>0</v>
      </c>
      <c r="Q2442" s="65">
        <v>0</v>
      </c>
      <c r="R2442" s="65">
        <v>104.5</v>
      </c>
      <c r="S2442" t="s">
        <v>155</v>
      </c>
    </row>
    <row r="2443" spans="1:19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64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5">
        <v>500</v>
      </c>
      <c r="P2443" s="65">
        <v>0</v>
      </c>
      <c r="Q2443" s="65">
        <v>0</v>
      </c>
      <c r="R2443" s="65">
        <v>500</v>
      </c>
      <c r="S2443" t="s">
        <v>155</v>
      </c>
    </row>
    <row r="2444" spans="1:19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64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5">
        <v>292.04000000000002</v>
      </c>
      <c r="P2444" s="65">
        <v>0</v>
      </c>
      <c r="Q2444" s="65">
        <v>0</v>
      </c>
      <c r="R2444" s="65">
        <v>292.04000000000002</v>
      </c>
      <c r="S2444" t="s">
        <v>155</v>
      </c>
    </row>
    <row r="2445" spans="1:19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64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5">
        <v>310.18</v>
      </c>
      <c r="P2445" s="65">
        <v>0</v>
      </c>
      <c r="Q2445" s="65">
        <v>0</v>
      </c>
      <c r="R2445" s="65">
        <v>310.18</v>
      </c>
      <c r="S2445" t="s">
        <v>155</v>
      </c>
    </row>
    <row r="2446" spans="1:19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64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5">
        <v>213.42</v>
      </c>
      <c r="P2446" s="65">
        <v>0</v>
      </c>
      <c r="Q2446" s="65">
        <v>0</v>
      </c>
      <c r="R2446" s="65">
        <v>213.42</v>
      </c>
      <c r="S2446" t="s">
        <v>155</v>
      </c>
    </row>
    <row r="2447" spans="1:19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64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5">
        <v>259.22000000000003</v>
      </c>
      <c r="P2447" s="65">
        <v>0</v>
      </c>
      <c r="Q2447" s="65">
        <v>0</v>
      </c>
      <c r="R2447" s="65">
        <v>259.22000000000003</v>
      </c>
      <c r="S2447" t="s">
        <v>155</v>
      </c>
    </row>
    <row r="2448" spans="1:19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64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5">
        <v>750</v>
      </c>
      <c r="P2448" s="65">
        <v>0</v>
      </c>
      <c r="Q2448" s="65">
        <v>0</v>
      </c>
      <c r="R2448" s="65">
        <v>750</v>
      </c>
      <c r="S2448" t="s">
        <v>155</v>
      </c>
    </row>
    <row r="2449" spans="1:19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64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5">
        <v>268.02999999999997</v>
      </c>
      <c r="P2449" s="65">
        <v>0</v>
      </c>
      <c r="Q2449" s="65">
        <v>0</v>
      </c>
      <c r="R2449" s="65">
        <v>268.02999999999997</v>
      </c>
      <c r="S2449" t="s">
        <v>155</v>
      </c>
    </row>
    <row r="2450" spans="1:19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64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5">
        <v>50</v>
      </c>
      <c r="P2450" s="65">
        <v>0</v>
      </c>
      <c r="Q2450" s="65">
        <v>0</v>
      </c>
      <c r="R2450" s="65">
        <v>50</v>
      </c>
      <c r="S2450" t="s">
        <v>155</v>
      </c>
    </row>
    <row r="2451" spans="1:19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64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5">
        <v>290</v>
      </c>
      <c r="P2451" s="65">
        <v>0</v>
      </c>
      <c r="Q2451" s="65">
        <v>0</v>
      </c>
      <c r="R2451" s="65">
        <v>290</v>
      </c>
      <c r="S2451" t="s">
        <v>155</v>
      </c>
    </row>
    <row r="2452" spans="1:19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64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5">
        <v>60</v>
      </c>
      <c r="P2452" s="65">
        <v>0</v>
      </c>
      <c r="Q2452" s="65">
        <v>0</v>
      </c>
      <c r="R2452" s="65">
        <v>60</v>
      </c>
      <c r="S2452" t="s">
        <v>155</v>
      </c>
    </row>
    <row r="2453" spans="1:19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64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5">
        <v>515.38</v>
      </c>
      <c r="P2453" s="65">
        <v>0</v>
      </c>
      <c r="Q2453" s="65">
        <v>0</v>
      </c>
      <c r="R2453" s="65">
        <v>515.38</v>
      </c>
      <c r="S2453" t="s">
        <v>155</v>
      </c>
    </row>
    <row r="2454" spans="1:19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64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5">
        <v>240.42</v>
      </c>
      <c r="P2454" s="65">
        <v>0</v>
      </c>
      <c r="Q2454" s="65">
        <v>0</v>
      </c>
      <c r="R2454" s="65">
        <v>240.42</v>
      </c>
      <c r="S2454" t="s">
        <v>155</v>
      </c>
    </row>
    <row r="2455" spans="1:19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64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5">
        <v>99.9</v>
      </c>
      <c r="P2455" s="65">
        <v>0</v>
      </c>
      <c r="Q2455" s="65">
        <v>0</v>
      </c>
      <c r="R2455" s="65">
        <v>99.9</v>
      </c>
      <c r="S2455" t="s">
        <v>155</v>
      </c>
    </row>
    <row r="2456" spans="1:19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64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5">
        <v>179.74</v>
      </c>
      <c r="P2456" s="65">
        <v>0</v>
      </c>
      <c r="Q2456" s="65">
        <v>0</v>
      </c>
      <c r="R2456" s="65">
        <v>179.74</v>
      </c>
      <c r="S2456" t="s">
        <v>155</v>
      </c>
    </row>
    <row r="2457" spans="1:19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64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5">
        <v>706.95</v>
      </c>
      <c r="P2457" s="65">
        <v>0</v>
      </c>
      <c r="Q2457" s="65">
        <v>0</v>
      </c>
      <c r="R2457" s="65">
        <v>706.95</v>
      </c>
      <c r="S2457" t="s">
        <v>155</v>
      </c>
    </row>
    <row r="2458" spans="1:19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64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5">
        <v>100</v>
      </c>
      <c r="P2458" s="65">
        <v>0</v>
      </c>
      <c r="Q2458" s="65">
        <v>0</v>
      </c>
      <c r="R2458" s="65">
        <v>100</v>
      </c>
      <c r="S2458" t="s">
        <v>155</v>
      </c>
    </row>
    <row r="2459" spans="1:19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64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5">
        <v>30</v>
      </c>
      <c r="P2459" s="65">
        <v>0</v>
      </c>
      <c r="Q2459" s="65">
        <v>0</v>
      </c>
      <c r="R2459" s="65">
        <v>30</v>
      </c>
      <c r="S2459" t="s">
        <v>155</v>
      </c>
    </row>
    <row r="2460" spans="1:19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64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5">
        <v>52.77</v>
      </c>
      <c r="P2460" s="65">
        <v>0</v>
      </c>
      <c r="Q2460" s="65">
        <v>0</v>
      </c>
      <c r="R2460" s="65">
        <v>52.77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64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5">
        <v>95.99</v>
      </c>
      <c r="P2461" s="65">
        <v>0</v>
      </c>
      <c r="Q2461" s="65">
        <v>0</v>
      </c>
      <c r="R2461" s="65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64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5">
        <v>50</v>
      </c>
      <c r="P2462" s="65">
        <v>0</v>
      </c>
      <c r="Q2462" s="65">
        <v>0</v>
      </c>
      <c r="R2462" s="65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64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5">
        <v>262.02</v>
      </c>
      <c r="P2463" s="65">
        <v>0</v>
      </c>
      <c r="Q2463" s="65">
        <v>0</v>
      </c>
      <c r="R2463" s="65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64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5">
        <v>7.99</v>
      </c>
      <c r="P2464" s="65">
        <v>0</v>
      </c>
      <c r="Q2464" s="65">
        <v>0</v>
      </c>
      <c r="R2464" s="65">
        <v>7.99</v>
      </c>
      <c r="S2464" t="s">
        <v>155</v>
      </c>
    </row>
    <row r="2465" spans="1:19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64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5">
        <v>85.51</v>
      </c>
      <c r="P2465" s="65">
        <v>0</v>
      </c>
      <c r="Q2465" s="65">
        <v>0</v>
      </c>
      <c r="R2465" s="65">
        <v>85.51</v>
      </c>
      <c r="S2465" t="s">
        <v>155</v>
      </c>
    </row>
    <row r="2466" spans="1:19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64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5">
        <v>42.7</v>
      </c>
      <c r="P2466" s="65">
        <v>0</v>
      </c>
      <c r="Q2466" s="65">
        <v>0</v>
      </c>
      <c r="R2466" s="65">
        <v>42.7</v>
      </c>
      <c r="S2466" t="s">
        <v>155</v>
      </c>
    </row>
    <row r="2467" spans="1:19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64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5">
        <v>391.03</v>
      </c>
      <c r="P2467" s="65">
        <v>0</v>
      </c>
      <c r="Q2467" s="65">
        <v>0</v>
      </c>
      <c r="R2467" s="65">
        <v>391.03</v>
      </c>
      <c r="S2467" t="s">
        <v>155</v>
      </c>
    </row>
    <row r="2468" spans="1:19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64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5">
        <v>271.31</v>
      </c>
      <c r="P2468" s="65">
        <v>0</v>
      </c>
      <c r="Q2468" s="65">
        <v>0</v>
      </c>
      <c r="R2468" s="65">
        <v>271.31</v>
      </c>
      <c r="S2468" t="s">
        <v>155</v>
      </c>
    </row>
    <row r="2469" spans="1:19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64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5">
        <v>50</v>
      </c>
      <c r="P2469" s="65">
        <v>0</v>
      </c>
      <c r="Q2469" s="65">
        <v>0</v>
      </c>
      <c r="R2469" s="65">
        <v>50</v>
      </c>
      <c r="S2469" t="s">
        <v>155</v>
      </c>
    </row>
    <row r="2470" spans="1:19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64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5">
        <v>13.83</v>
      </c>
      <c r="P2470" s="65">
        <v>0</v>
      </c>
      <c r="Q2470" s="65">
        <v>0</v>
      </c>
      <c r="R2470" s="65">
        <v>13.83</v>
      </c>
      <c r="S2470" t="s">
        <v>155</v>
      </c>
    </row>
    <row r="2471" spans="1:19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64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5">
        <v>780.82</v>
      </c>
      <c r="P2471" s="65">
        <v>0</v>
      </c>
      <c r="Q2471" s="65">
        <v>0</v>
      </c>
      <c r="R2471" s="65">
        <v>780.82</v>
      </c>
      <c r="S2471" t="s">
        <v>155</v>
      </c>
    </row>
    <row r="2472" spans="1:19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64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5">
        <v>65</v>
      </c>
      <c r="P2472" s="65">
        <v>0</v>
      </c>
      <c r="Q2472" s="65">
        <v>0</v>
      </c>
      <c r="R2472" s="65">
        <v>65</v>
      </c>
      <c r="S2472" t="s">
        <v>155</v>
      </c>
    </row>
    <row r="2473" spans="1:19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64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5">
        <v>1915.38</v>
      </c>
      <c r="P2473" s="65">
        <v>0</v>
      </c>
      <c r="Q2473" s="65">
        <v>0</v>
      </c>
      <c r="R2473" s="65">
        <v>1915.38</v>
      </c>
      <c r="S2473" t="s">
        <v>155</v>
      </c>
    </row>
    <row r="2474" spans="1:19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64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5">
        <v>253.9</v>
      </c>
      <c r="P2474" s="65">
        <v>0</v>
      </c>
      <c r="Q2474" s="65">
        <v>0</v>
      </c>
      <c r="R2474" s="65">
        <v>253.9</v>
      </c>
      <c r="S2474" t="s">
        <v>155</v>
      </c>
    </row>
    <row r="2475" spans="1:19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64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5">
        <v>104.7</v>
      </c>
      <c r="P2475" s="65">
        <v>0</v>
      </c>
      <c r="Q2475" s="65">
        <v>0</v>
      </c>
      <c r="R2475" s="65">
        <v>104.7</v>
      </c>
      <c r="S2475" t="s">
        <v>155</v>
      </c>
    </row>
    <row r="2476" spans="1:19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64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5">
        <v>50000</v>
      </c>
      <c r="P2476" s="65">
        <v>0</v>
      </c>
      <c r="Q2476" s="65">
        <v>0</v>
      </c>
      <c r="R2476" s="65">
        <v>50000</v>
      </c>
      <c r="S2476" t="s">
        <v>155</v>
      </c>
    </row>
    <row r="2477" spans="1:19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64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5">
        <v>15315.3</v>
      </c>
      <c r="P2477" s="65">
        <v>0</v>
      </c>
      <c r="Q2477" s="65">
        <v>0</v>
      </c>
      <c r="R2477" s="65">
        <v>15315.3</v>
      </c>
      <c r="S2477" t="s">
        <v>155</v>
      </c>
    </row>
    <row r="2478" spans="1:19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64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5">
        <v>15315.31</v>
      </c>
      <c r="P2478" s="65">
        <v>0</v>
      </c>
      <c r="Q2478" s="65">
        <v>0</v>
      </c>
      <c r="R2478" s="65">
        <v>15315.31</v>
      </c>
      <c r="S2478" t="s">
        <v>155</v>
      </c>
    </row>
    <row r="2479" spans="1:19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64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5">
        <v>15315.31</v>
      </c>
      <c r="P2479" s="65">
        <v>0</v>
      </c>
      <c r="Q2479" s="65">
        <v>0</v>
      </c>
      <c r="R2479" s="65">
        <v>15315.31</v>
      </c>
      <c r="S2479" t="s">
        <v>155</v>
      </c>
    </row>
    <row r="2480" spans="1:19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64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5">
        <v>15315.31</v>
      </c>
      <c r="P2480" s="65">
        <v>0</v>
      </c>
      <c r="Q2480" s="65">
        <v>0</v>
      </c>
      <c r="R2480" s="65">
        <v>15315.31</v>
      </c>
      <c r="S2480" t="s">
        <v>155</v>
      </c>
    </row>
    <row r="2481" spans="1:19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64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5">
        <v>35735.72</v>
      </c>
      <c r="P2481" s="65">
        <v>0</v>
      </c>
      <c r="Q2481" s="65">
        <v>0</v>
      </c>
      <c r="R2481" s="65">
        <v>35735.72</v>
      </c>
      <c r="S2481" t="s">
        <v>155</v>
      </c>
    </row>
    <row r="2482" spans="1:19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64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5">
        <v>35735.72</v>
      </c>
      <c r="P2482" s="65">
        <v>0</v>
      </c>
      <c r="Q2482" s="65">
        <v>0</v>
      </c>
      <c r="R2482" s="65">
        <v>35735.72</v>
      </c>
      <c r="S2482" t="s">
        <v>155</v>
      </c>
    </row>
    <row r="2483" spans="1:19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64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5">
        <v>35735.71</v>
      </c>
      <c r="P2483" s="65">
        <v>0</v>
      </c>
      <c r="Q2483" s="65">
        <v>0</v>
      </c>
      <c r="R2483" s="65">
        <v>35735.71</v>
      </c>
      <c r="S2483" t="s">
        <v>155</v>
      </c>
    </row>
    <row r="2484" spans="1:19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64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5">
        <v>35735.71</v>
      </c>
      <c r="P2484" s="65">
        <v>0</v>
      </c>
      <c r="Q2484" s="65">
        <v>0</v>
      </c>
      <c r="R2484" s="65">
        <v>35735.71</v>
      </c>
      <c r="S2484" t="s">
        <v>155</v>
      </c>
    </row>
    <row r="2485" spans="1:19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64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5">
        <v>20.95</v>
      </c>
      <c r="P2485" s="65">
        <v>0</v>
      </c>
      <c r="Q2485" s="65">
        <v>0</v>
      </c>
      <c r="R2485" s="65">
        <v>20.95</v>
      </c>
      <c r="S2485" t="s">
        <v>155</v>
      </c>
    </row>
    <row r="2486" spans="1:19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64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5">
        <v>232.5</v>
      </c>
      <c r="P2486" s="65">
        <v>0</v>
      </c>
      <c r="Q2486" s="65">
        <v>0</v>
      </c>
      <c r="R2486" s="65">
        <v>232.5</v>
      </c>
      <c r="S2486" t="s">
        <v>155</v>
      </c>
    </row>
    <row r="2487" spans="1:19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64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5">
        <v>5.94</v>
      </c>
      <c r="P2487" s="65">
        <v>0</v>
      </c>
      <c r="Q2487" s="65">
        <v>0</v>
      </c>
      <c r="R2487" s="65">
        <v>5.94</v>
      </c>
      <c r="S2487" t="s">
        <v>155</v>
      </c>
    </row>
    <row r="2488" spans="1:19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64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5">
        <v>82</v>
      </c>
      <c r="P2488" s="65">
        <v>0</v>
      </c>
      <c r="Q2488" s="65">
        <v>0</v>
      </c>
      <c r="R2488" s="65">
        <v>82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64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5">
        <v>150000</v>
      </c>
      <c r="P2489" s="65">
        <v>0</v>
      </c>
      <c r="Q2489" s="65">
        <v>0</v>
      </c>
      <c r="R2489" s="65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64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5">
        <v>69656.679999999993</v>
      </c>
      <c r="P2490" s="65">
        <v>0</v>
      </c>
      <c r="Q2490" s="65">
        <v>0</v>
      </c>
      <c r="R2490" s="65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64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5">
        <v>136662.12</v>
      </c>
      <c r="P2491" s="65">
        <v>0</v>
      </c>
      <c r="Q2491" s="65">
        <v>0</v>
      </c>
      <c r="R2491" s="65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64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5">
        <v>2000</v>
      </c>
      <c r="P2492" s="65">
        <v>0</v>
      </c>
      <c r="Q2492" s="65">
        <v>0</v>
      </c>
      <c r="R2492" s="65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64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5">
        <v>29.94</v>
      </c>
      <c r="P2493" s="65">
        <v>0</v>
      </c>
      <c r="Q2493" s="65">
        <v>0</v>
      </c>
      <c r="R2493" s="65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64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5">
        <v>3.54</v>
      </c>
      <c r="P2494" s="65">
        <v>0</v>
      </c>
      <c r="Q2494" s="65">
        <v>0</v>
      </c>
      <c r="R2494" s="65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64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5">
        <v>2.59</v>
      </c>
      <c r="P2495" s="65">
        <v>0</v>
      </c>
      <c r="Q2495" s="65">
        <v>0</v>
      </c>
      <c r="R2495" s="65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64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5">
        <v>3.13</v>
      </c>
      <c r="P2496" s="65">
        <v>0</v>
      </c>
      <c r="Q2496" s="65">
        <v>0</v>
      </c>
      <c r="R2496" s="65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64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5">
        <v>3.13</v>
      </c>
      <c r="P2497" s="65">
        <v>0</v>
      </c>
      <c r="Q2497" s="65">
        <v>0</v>
      </c>
      <c r="R2497" s="65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64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5">
        <v>0.04</v>
      </c>
      <c r="P2498" s="65">
        <v>0</v>
      </c>
      <c r="Q2498" s="65">
        <v>0</v>
      </c>
      <c r="R2498" s="65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64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5">
        <v>242.65</v>
      </c>
      <c r="P2499" s="65">
        <v>0</v>
      </c>
      <c r="Q2499" s="65">
        <v>0</v>
      </c>
      <c r="R2499" s="65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64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5">
        <v>55</v>
      </c>
      <c r="P2500" s="65">
        <v>0</v>
      </c>
      <c r="Q2500" s="65">
        <v>0</v>
      </c>
      <c r="R2500" s="65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64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5">
        <v>136.02000000000001</v>
      </c>
      <c r="P2501" s="65">
        <v>0</v>
      </c>
      <c r="Q2501" s="65">
        <v>0</v>
      </c>
      <c r="R2501" s="65">
        <v>136.02000000000001</v>
      </c>
      <c r="S2501" t="s">
        <v>155</v>
      </c>
    </row>
    <row r="2502" spans="1:19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64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5">
        <v>348.32</v>
      </c>
      <c r="P2502" s="65">
        <v>0</v>
      </c>
      <c r="Q2502" s="65">
        <v>0</v>
      </c>
      <c r="R2502" s="65">
        <v>348.32</v>
      </c>
      <c r="S2502" t="s">
        <v>155</v>
      </c>
    </row>
    <row r="2503" spans="1:19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64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5">
        <v>32.94</v>
      </c>
      <c r="P2503" s="65">
        <v>0</v>
      </c>
      <c r="Q2503" s="65">
        <v>0</v>
      </c>
      <c r="R2503" s="65">
        <v>32.94</v>
      </c>
      <c r="S2503" t="s">
        <v>155</v>
      </c>
    </row>
    <row r="2504" spans="1:19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64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5">
        <v>1000</v>
      </c>
      <c r="P2504" s="65">
        <v>0</v>
      </c>
      <c r="Q2504" s="65">
        <v>0</v>
      </c>
      <c r="R2504" s="65">
        <v>1000</v>
      </c>
      <c r="S2504" t="s">
        <v>155</v>
      </c>
    </row>
    <row r="2505" spans="1:19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64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5">
        <v>100</v>
      </c>
      <c r="P2505" s="65">
        <v>0</v>
      </c>
      <c r="Q2505" s="65">
        <v>0</v>
      </c>
      <c r="R2505" s="65">
        <v>100</v>
      </c>
      <c r="S2505" t="s">
        <v>155</v>
      </c>
    </row>
    <row r="2506" spans="1:19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64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5">
        <v>1670.45</v>
      </c>
      <c r="P2506" s="65">
        <v>0</v>
      </c>
      <c r="Q2506" s="65">
        <v>0</v>
      </c>
      <c r="R2506" s="65">
        <v>1670.45</v>
      </c>
      <c r="S2506" t="s">
        <v>155</v>
      </c>
    </row>
    <row r="2507" spans="1:19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64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5">
        <v>100</v>
      </c>
      <c r="P2507" s="65">
        <v>0</v>
      </c>
      <c r="Q2507" s="65">
        <v>0</v>
      </c>
      <c r="R2507" s="65">
        <v>100</v>
      </c>
      <c r="S2507" t="s">
        <v>155</v>
      </c>
    </row>
    <row r="2508" spans="1:19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64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5">
        <v>1200</v>
      </c>
      <c r="P2508" s="65">
        <v>0</v>
      </c>
      <c r="Q2508" s="65">
        <v>0</v>
      </c>
      <c r="R2508" s="65">
        <v>1200</v>
      </c>
      <c r="S2508" t="s">
        <v>155</v>
      </c>
    </row>
    <row r="2509" spans="1:19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64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5">
        <v>100</v>
      </c>
      <c r="P2509" s="65">
        <v>0</v>
      </c>
      <c r="Q2509" s="65">
        <v>0</v>
      </c>
      <c r="R2509" s="65">
        <v>100</v>
      </c>
      <c r="S2509" t="s">
        <v>155</v>
      </c>
    </row>
    <row r="2510" spans="1:19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64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5">
        <v>50000</v>
      </c>
      <c r="P2510" s="65">
        <v>0</v>
      </c>
      <c r="Q2510" s="65">
        <v>0</v>
      </c>
      <c r="R2510" s="65">
        <v>50000</v>
      </c>
      <c r="S2510" t="s">
        <v>155</v>
      </c>
    </row>
    <row r="2511" spans="1:19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64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5">
        <v>500</v>
      </c>
      <c r="P2511" s="65">
        <v>0</v>
      </c>
      <c r="Q2511" s="65">
        <v>0</v>
      </c>
      <c r="R2511" s="65">
        <v>500</v>
      </c>
      <c r="S2511" t="s">
        <v>155</v>
      </c>
    </row>
    <row r="2512" spans="1:19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64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5">
        <v>319.95999999999998</v>
      </c>
      <c r="P2512" s="65">
        <v>0</v>
      </c>
      <c r="Q2512" s="65">
        <v>0</v>
      </c>
      <c r="R2512" s="65">
        <v>319.95999999999998</v>
      </c>
      <c r="S2512" t="s">
        <v>155</v>
      </c>
    </row>
    <row r="2513" spans="1:19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64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5">
        <v>1929.53</v>
      </c>
      <c r="P2513" s="65">
        <v>0</v>
      </c>
      <c r="Q2513" s="65">
        <v>0</v>
      </c>
      <c r="R2513" s="65">
        <v>1929.53</v>
      </c>
      <c r="S2513" t="s">
        <v>155</v>
      </c>
    </row>
    <row r="2514" spans="1:19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64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5">
        <v>250</v>
      </c>
      <c r="P2514" s="65">
        <v>0</v>
      </c>
      <c r="Q2514" s="65">
        <v>0</v>
      </c>
      <c r="R2514" s="65">
        <v>250</v>
      </c>
      <c r="S2514" t="s">
        <v>155</v>
      </c>
    </row>
    <row r="2515" spans="1:19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64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5">
        <v>250</v>
      </c>
      <c r="P2515" s="65">
        <v>0</v>
      </c>
      <c r="Q2515" s="65">
        <v>0</v>
      </c>
      <c r="R2515" s="65">
        <v>250</v>
      </c>
      <c r="S2515" t="s">
        <v>155</v>
      </c>
    </row>
    <row r="2516" spans="1:19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64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5">
        <v>250</v>
      </c>
      <c r="P2516" s="65">
        <v>0</v>
      </c>
      <c r="Q2516" s="65">
        <v>0</v>
      </c>
      <c r="R2516" s="65">
        <v>250</v>
      </c>
      <c r="S2516" t="s">
        <v>155</v>
      </c>
    </row>
    <row r="2517" spans="1:19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64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5">
        <v>250</v>
      </c>
      <c r="P2517" s="65">
        <v>0</v>
      </c>
      <c r="Q2517" s="65">
        <v>0</v>
      </c>
      <c r="R2517" s="65">
        <v>250</v>
      </c>
      <c r="S2517" t="s">
        <v>155</v>
      </c>
    </row>
    <row r="2518" spans="1:19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64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5">
        <v>1.77</v>
      </c>
      <c r="P2518" s="65">
        <v>0</v>
      </c>
      <c r="Q2518" s="65">
        <v>0</v>
      </c>
      <c r="R2518" s="65">
        <v>1.77</v>
      </c>
      <c r="S2518" t="s">
        <v>155</v>
      </c>
    </row>
    <row r="2519" spans="1:19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64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5">
        <v>250</v>
      </c>
      <c r="P2519" s="65">
        <v>0</v>
      </c>
      <c r="Q2519" s="65">
        <v>0</v>
      </c>
      <c r="R2519" s="65">
        <v>250</v>
      </c>
      <c r="S2519" t="s">
        <v>155</v>
      </c>
    </row>
    <row r="2520" spans="1:19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64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5">
        <v>250</v>
      </c>
      <c r="P2520" s="65">
        <v>0</v>
      </c>
      <c r="Q2520" s="65">
        <v>0</v>
      </c>
      <c r="R2520" s="65">
        <v>250</v>
      </c>
      <c r="S2520" t="s">
        <v>155</v>
      </c>
    </row>
    <row r="2521" spans="1:19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64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5">
        <v>40286.89</v>
      </c>
      <c r="P2521" s="65">
        <v>0</v>
      </c>
      <c r="Q2521" s="65">
        <v>0</v>
      </c>
      <c r="R2521" s="65">
        <v>40286.89</v>
      </c>
      <c r="S2521" t="s">
        <v>155</v>
      </c>
    </row>
    <row r="2522" spans="1:19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64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5">
        <v>3036</v>
      </c>
      <c r="P2522" s="65">
        <v>0</v>
      </c>
      <c r="Q2522" s="65">
        <v>0</v>
      </c>
      <c r="R2522" s="65">
        <v>3036</v>
      </c>
      <c r="S2522" t="s">
        <v>155</v>
      </c>
    </row>
    <row r="2523" spans="1:19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64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5">
        <v>47.5</v>
      </c>
      <c r="P2523" s="65">
        <v>0</v>
      </c>
      <c r="Q2523" s="65">
        <v>0</v>
      </c>
      <c r="R2523" s="65">
        <v>47.5</v>
      </c>
      <c r="S2523" t="s">
        <v>155</v>
      </c>
    </row>
    <row r="2524" spans="1:19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64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5">
        <v>1300</v>
      </c>
      <c r="P2524" s="65">
        <v>0</v>
      </c>
      <c r="Q2524" s="65">
        <v>0</v>
      </c>
      <c r="R2524" s="65">
        <v>1300</v>
      </c>
      <c r="S2524" t="s">
        <v>155</v>
      </c>
    </row>
    <row r="2525" spans="1:19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64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5">
        <v>817.65</v>
      </c>
      <c r="P2525" s="65">
        <v>0</v>
      </c>
      <c r="Q2525" s="65">
        <v>0</v>
      </c>
      <c r="R2525" s="65">
        <v>817.65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64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5">
        <v>2.59</v>
      </c>
      <c r="P2526" s="65">
        <v>0</v>
      </c>
      <c r="Q2526" s="65">
        <v>0</v>
      </c>
      <c r="R2526" s="65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64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5">
        <v>2.59</v>
      </c>
      <c r="P2527" s="65">
        <v>0</v>
      </c>
      <c r="Q2527" s="65">
        <v>0</v>
      </c>
      <c r="R2527" s="65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64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5">
        <v>5.94</v>
      </c>
      <c r="P2528" s="65">
        <v>0</v>
      </c>
      <c r="Q2528" s="65">
        <v>0</v>
      </c>
      <c r="R2528" s="65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64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5">
        <v>3.13</v>
      </c>
      <c r="P2529" s="65">
        <v>0</v>
      </c>
      <c r="Q2529" s="65">
        <v>0</v>
      </c>
      <c r="R2529" s="65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64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5">
        <v>3.13</v>
      </c>
      <c r="P2530" s="65">
        <v>0</v>
      </c>
      <c r="Q2530" s="65">
        <v>0</v>
      </c>
      <c r="R2530" s="65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64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5">
        <v>0.04</v>
      </c>
      <c r="P2531" s="65">
        <v>0</v>
      </c>
      <c r="Q2531" s="65">
        <v>0</v>
      </c>
      <c r="R2531" s="65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64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5">
        <v>3.4</v>
      </c>
      <c r="P2532" s="65">
        <v>0</v>
      </c>
      <c r="Q2532" s="65">
        <v>0</v>
      </c>
      <c r="R2532" s="65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64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5">
        <v>3.4</v>
      </c>
      <c r="P2533" s="65">
        <v>0</v>
      </c>
      <c r="Q2533" s="65">
        <v>0</v>
      </c>
      <c r="R2533" s="65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64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5">
        <v>8.85</v>
      </c>
      <c r="P2534" s="65">
        <v>0</v>
      </c>
      <c r="Q2534" s="65">
        <v>0</v>
      </c>
      <c r="R2534" s="65">
        <v>8.85</v>
      </c>
      <c r="S2534" t="s">
        <v>155</v>
      </c>
    </row>
    <row r="2535" spans="1:19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64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5">
        <v>212.5</v>
      </c>
      <c r="P2535" s="65">
        <v>0</v>
      </c>
      <c r="Q2535" s="65">
        <v>0</v>
      </c>
      <c r="R2535" s="65">
        <v>212.5</v>
      </c>
      <c r="S2535" t="s">
        <v>155</v>
      </c>
    </row>
    <row r="2536" spans="1:19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64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5">
        <v>100</v>
      </c>
      <c r="P2536" s="65">
        <v>0</v>
      </c>
      <c r="Q2536" s="65">
        <v>0</v>
      </c>
      <c r="R2536" s="65">
        <v>100</v>
      </c>
      <c r="S2536" t="s">
        <v>155</v>
      </c>
    </row>
    <row r="2537" spans="1:19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64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5">
        <v>154.16999999999999</v>
      </c>
      <c r="P2537" s="65">
        <v>0</v>
      </c>
      <c r="Q2537" s="65">
        <v>0</v>
      </c>
      <c r="R2537" s="65">
        <v>154.16999999999999</v>
      </c>
      <c r="S2537" t="s">
        <v>155</v>
      </c>
    </row>
    <row r="2538" spans="1:19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64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5">
        <v>349.23</v>
      </c>
      <c r="P2538" s="65">
        <v>0</v>
      </c>
      <c r="Q2538" s="65">
        <v>0</v>
      </c>
      <c r="R2538" s="65">
        <v>349.23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64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5">
        <v>36.9</v>
      </c>
      <c r="P2539" s="65">
        <v>0</v>
      </c>
      <c r="Q2539" s="65">
        <v>0</v>
      </c>
      <c r="R2539" s="65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64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5">
        <v>1.6</v>
      </c>
      <c r="P2540" s="65">
        <v>0</v>
      </c>
      <c r="Q2540" s="65">
        <v>0</v>
      </c>
      <c r="R2540" s="65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64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5">
        <v>5.94</v>
      </c>
      <c r="P2541" s="65">
        <v>0</v>
      </c>
      <c r="Q2541" s="65">
        <v>0</v>
      </c>
      <c r="R2541" s="65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64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5">
        <v>23.8</v>
      </c>
      <c r="P2542" s="65">
        <v>0</v>
      </c>
      <c r="Q2542" s="65">
        <v>0</v>
      </c>
      <c r="R2542" s="65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64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5">
        <v>1.77</v>
      </c>
      <c r="P2543" s="65">
        <v>0</v>
      </c>
      <c r="Q2543" s="65">
        <v>0</v>
      </c>
      <c r="R2543" s="65">
        <v>1.77</v>
      </c>
      <c r="S2543" t="s">
        <v>155</v>
      </c>
    </row>
    <row r="2544" spans="1:19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64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5">
        <v>2100</v>
      </c>
      <c r="P2544" s="65">
        <v>0</v>
      </c>
      <c r="Q2544" s="65">
        <v>0</v>
      </c>
      <c r="R2544" s="65">
        <v>2100</v>
      </c>
      <c r="S2544" t="s">
        <v>155</v>
      </c>
    </row>
    <row r="2545" spans="1:19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64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5">
        <v>230</v>
      </c>
      <c r="P2545" s="65">
        <v>0</v>
      </c>
      <c r="Q2545" s="65">
        <v>0</v>
      </c>
      <c r="R2545" s="65">
        <v>230</v>
      </c>
      <c r="S2545" t="s">
        <v>155</v>
      </c>
    </row>
    <row r="2546" spans="1:19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64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5">
        <v>254.63</v>
      </c>
      <c r="P2546" s="65">
        <v>0</v>
      </c>
      <c r="Q2546" s="65">
        <v>0</v>
      </c>
      <c r="R2546" s="65">
        <v>254.63</v>
      </c>
      <c r="S2546" t="s">
        <v>155</v>
      </c>
    </row>
    <row r="2547" spans="1:19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64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5">
        <v>168.77</v>
      </c>
      <c r="P2547" s="65">
        <v>0</v>
      </c>
      <c r="Q2547" s="65">
        <v>0</v>
      </c>
      <c r="R2547" s="65">
        <v>168.77</v>
      </c>
      <c r="S2547" t="s">
        <v>155</v>
      </c>
    </row>
    <row r="2548" spans="1:19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64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5">
        <v>423.8</v>
      </c>
      <c r="P2548" s="65">
        <v>0</v>
      </c>
      <c r="Q2548" s="65">
        <v>0</v>
      </c>
      <c r="R2548" s="65">
        <v>423.8</v>
      </c>
      <c r="S2548" t="s">
        <v>155</v>
      </c>
    </row>
    <row r="2549" spans="1:19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64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5">
        <v>686</v>
      </c>
      <c r="P2549" s="65">
        <v>0</v>
      </c>
      <c r="Q2549" s="65">
        <v>0</v>
      </c>
      <c r="R2549" s="65">
        <v>686</v>
      </c>
      <c r="S2549" t="s">
        <v>155</v>
      </c>
    </row>
    <row r="2550" spans="1:19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64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5">
        <v>352</v>
      </c>
      <c r="P2550" s="65">
        <v>0</v>
      </c>
      <c r="Q2550" s="65">
        <v>0</v>
      </c>
      <c r="R2550" s="65">
        <v>352</v>
      </c>
      <c r="S2550" t="s">
        <v>155</v>
      </c>
    </row>
    <row r="2551" spans="1:19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64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5">
        <v>975.91</v>
      </c>
      <c r="P2551" s="65">
        <v>0</v>
      </c>
      <c r="Q2551" s="65">
        <v>0</v>
      </c>
      <c r="R2551" s="65">
        <v>975.91</v>
      </c>
      <c r="S2551" t="s">
        <v>155</v>
      </c>
    </row>
    <row r="2552" spans="1:19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64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5">
        <v>2480.92</v>
      </c>
      <c r="P2552" s="65">
        <v>0</v>
      </c>
      <c r="Q2552" s="65">
        <v>0</v>
      </c>
      <c r="R2552" s="65">
        <v>2480.92</v>
      </c>
      <c r="S2552" t="s">
        <v>155</v>
      </c>
    </row>
    <row r="2553" spans="1:19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64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5">
        <v>2500</v>
      </c>
      <c r="P2553" s="65">
        <v>0</v>
      </c>
      <c r="Q2553" s="65">
        <v>0</v>
      </c>
      <c r="R2553" s="65">
        <v>2500</v>
      </c>
      <c r="S2553" t="s">
        <v>155</v>
      </c>
    </row>
    <row r="2554" spans="1:19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64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5">
        <v>18.91</v>
      </c>
      <c r="P2554" s="65">
        <v>0</v>
      </c>
      <c r="Q2554" s="65">
        <v>0</v>
      </c>
      <c r="R2554" s="65">
        <v>18.91</v>
      </c>
      <c r="S2554" t="s">
        <v>155</v>
      </c>
    </row>
    <row r="2555" spans="1:19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64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5">
        <v>2500</v>
      </c>
      <c r="P2555" s="65">
        <v>0</v>
      </c>
      <c r="Q2555" s="65">
        <v>0</v>
      </c>
      <c r="R2555" s="65">
        <v>2500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64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5">
        <v>3.13</v>
      </c>
      <c r="P2556" s="65">
        <v>0</v>
      </c>
      <c r="Q2556" s="65">
        <v>0</v>
      </c>
      <c r="R2556" s="65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64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5">
        <v>6.26</v>
      </c>
      <c r="P2557" s="65">
        <v>0</v>
      </c>
      <c r="Q2557" s="65">
        <v>0</v>
      </c>
      <c r="R2557" s="65">
        <v>6.26</v>
      </c>
      <c r="S2557" t="s">
        <v>155</v>
      </c>
    </row>
    <row r="2558" spans="1:19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64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5">
        <v>1065.9000000000001</v>
      </c>
      <c r="P2558" s="65">
        <v>0</v>
      </c>
      <c r="Q2558" s="65">
        <v>0</v>
      </c>
      <c r="R2558" s="65">
        <v>1065.9000000000001</v>
      </c>
      <c r="S2558" t="s">
        <v>155</v>
      </c>
    </row>
    <row r="2559" spans="1:19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64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5">
        <v>6198.92</v>
      </c>
      <c r="P2559" s="65">
        <v>0</v>
      </c>
      <c r="Q2559" s="65">
        <v>0</v>
      </c>
      <c r="R2559" s="65">
        <v>6198.92</v>
      </c>
      <c r="S2559" t="s">
        <v>155</v>
      </c>
    </row>
    <row r="2560" spans="1:19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64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5">
        <v>2300</v>
      </c>
      <c r="P2560" s="65">
        <v>0</v>
      </c>
      <c r="Q2560" s="65">
        <v>0</v>
      </c>
      <c r="R2560" s="65">
        <v>2300</v>
      </c>
      <c r="S2560" t="s">
        <v>155</v>
      </c>
    </row>
    <row r="2561" spans="1:19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64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5">
        <v>920.45</v>
      </c>
      <c r="P2561" s="65">
        <v>0</v>
      </c>
      <c r="Q2561" s="65">
        <v>0</v>
      </c>
      <c r="R2561" s="65">
        <v>920.45</v>
      </c>
      <c r="S2561" t="s">
        <v>155</v>
      </c>
    </row>
    <row r="2562" spans="1:19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64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5">
        <v>2000</v>
      </c>
      <c r="P2562" s="65">
        <v>0</v>
      </c>
      <c r="Q2562" s="65">
        <v>0</v>
      </c>
      <c r="R2562" s="65">
        <v>2000</v>
      </c>
      <c r="S2562" t="s">
        <v>155</v>
      </c>
    </row>
    <row r="2563" spans="1:19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64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5">
        <v>2000</v>
      </c>
      <c r="P2563" s="65">
        <v>0</v>
      </c>
      <c r="Q2563" s="65">
        <v>0</v>
      </c>
      <c r="R2563" s="65">
        <v>2000</v>
      </c>
      <c r="S2563" t="s">
        <v>155</v>
      </c>
    </row>
    <row r="2564" spans="1:19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64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5">
        <v>1700</v>
      </c>
      <c r="P2564" s="65">
        <v>0</v>
      </c>
      <c r="Q2564" s="65">
        <v>0</v>
      </c>
      <c r="R2564" s="65">
        <v>1700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64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5">
        <v>1.6</v>
      </c>
      <c r="P2565" s="65">
        <v>0</v>
      </c>
      <c r="Q2565" s="65">
        <v>0</v>
      </c>
      <c r="R2565" s="65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64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5">
        <v>14.16</v>
      </c>
      <c r="P2566" s="65">
        <v>0</v>
      </c>
      <c r="Q2566" s="65">
        <v>0</v>
      </c>
      <c r="R2566" s="65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64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5">
        <v>28.69</v>
      </c>
      <c r="P2567" s="65">
        <v>0</v>
      </c>
      <c r="Q2567" s="65">
        <v>0</v>
      </c>
      <c r="R2567" s="65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64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5">
        <v>900</v>
      </c>
      <c r="P2568" s="65">
        <v>0</v>
      </c>
      <c r="Q2568" s="65">
        <v>0</v>
      </c>
      <c r="R2568" s="65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64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5">
        <v>0.04</v>
      </c>
      <c r="P2569" s="65">
        <v>0</v>
      </c>
      <c r="Q2569" s="65">
        <v>0</v>
      </c>
      <c r="R2569" s="65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64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5">
        <v>3.4</v>
      </c>
      <c r="P2570" s="65">
        <v>0</v>
      </c>
      <c r="Q2570" s="65">
        <v>0</v>
      </c>
      <c r="R2570" s="65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64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5">
        <v>56948.89</v>
      </c>
      <c r="P2571" s="65">
        <v>0</v>
      </c>
      <c r="Q2571" s="65">
        <v>0</v>
      </c>
      <c r="R2571" s="65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64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5">
        <v>1000</v>
      </c>
      <c r="P2572" s="65">
        <v>0</v>
      </c>
      <c r="Q2572" s="65">
        <v>0</v>
      </c>
      <c r="R2572" s="65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64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5">
        <v>50</v>
      </c>
      <c r="P2573" s="65">
        <v>0</v>
      </c>
      <c r="Q2573" s="65">
        <v>0</v>
      </c>
      <c r="R2573" s="65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64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5">
        <v>250</v>
      </c>
      <c r="P2574" s="65">
        <v>0</v>
      </c>
      <c r="Q2574" s="65">
        <v>0</v>
      </c>
      <c r="R2574" s="65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64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5">
        <v>20</v>
      </c>
      <c r="P2575" s="65">
        <v>0</v>
      </c>
      <c r="Q2575" s="65">
        <v>0</v>
      </c>
      <c r="R2575" s="65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64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5">
        <v>20</v>
      </c>
      <c r="P2576" s="65">
        <v>0</v>
      </c>
      <c r="Q2576" s="65">
        <v>0</v>
      </c>
      <c r="R2576" s="65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64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5">
        <v>150</v>
      </c>
      <c r="P2577" s="65">
        <v>0</v>
      </c>
      <c r="Q2577" s="65">
        <v>0</v>
      </c>
      <c r="R2577" s="65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64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5">
        <v>53.98</v>
      </c>
      <c r="P2578" s="65">
        <v>0</v>
      </c>
      <c r="Q2578" s="65">
        <v>0</v>
      </c>
      <c r="R2578" s="65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64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5">
        <v>47.14</v>
      </c>
      <c r="P2579" s="65">
        <v>0</v>
      </c>
      <c r="Q2579" s="65">
        <v>0</v>
      </c>
      <c r="R2579" s="65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64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5">
        <v>15559.95</v>
      </c>
      <c r="P2580" s="65">
        <v>0</v>
      </c>
      <c r="Q2580" s="65">
        <v>0</v>
      </c>
      <c r="R2580" s="65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64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5">
        <v>23.14</v>
      </c>
      <c r="P2581" s="65">
        <v>0</v>
      </c>
      <c r="Q2581" s="65">
        <v>0</v>
      </c>
      <c r="R2581" s="65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64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5">
        <v>42.93</v>
      </c>
      <c r="P2582" s="65">
        <v>0</v>
      </c>
      <c r="Q2582" s="65">
        <v>0</v>
      </c>
      <c r="R2582" s="65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64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5">
        <v>1.77</v>
      </c>
      <c r="P2583" s="65">
        <v>0</v>
      </c>
      <c r="Q2583" s="65">
        <v>0</v>
      </c>
      <c r="R2583" s="65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64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5">
        <v>20.399999999999999</v>
      </c>
      <c r="P2584" s="65">
        <v>0</v>
      </c>
      <c r="Q2584" s="65">
        <v>0</v>
      </c>
      <c r="R2584" s="65">
        <v>20.399999999999999</v>
      </c>
      <c r="S2584" t="s">
        <v>155</v>
      </c>
    </row>
    <row r="2585" spans="1:19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64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5">
        <v>2965</v>
      </c>
      <c r="P2585" s="65">
        <v>0</v>
      </c>
      <c r="Q2585" s="65">
        <v>0</v>
      </c>
      <c r="R2585" s="65">
        <v>2965</v>
      </c>
      <c r="S2585" t="s">
        <v>155</v>
      </c>
    </row>
    <row r="2586" spans="1:19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64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5">
        <v>2500</v>
      </c>
      <c r="P2586" s="65">
        <v>0</v>
      </c>
      <c r="Q2586" s="65">
        <v>0</v>
      </c>
      <c r="R2586" s="65">
        <v>2500</v>
      </c>
      <c r="S2586" t="s">
        <v>155</v>
      </c>
    </row>
    <row r="2587" spans="1:19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64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5">
        <v>284.70999999999998</v>
      </c>
      <c r="P2587" s="65">
        <v>0</v>
      </c>
      <c r="Q2587" s="65">
        <v>0</v>
      </c>
      <c r="R2587" s="65">
        <v>284.70999999999998</v>
      </c>
      <c r="S2587" t="s">
        <v>155</v>
      </c>
    </row>
    <row r="2588" spans="1:19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64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5">
        <v>2192.14</v>
      </c>
      <c r="P2588" s="65">
        <v>0</v>
      </c>
      <c r="Q2588" s="65">
        <v>0</v>
      </c>
      <c r="R2588" s="65">
        <v>2192.14</v>
      </c>
      <c r="S2588" t="s">
        <v>155</v>
      </c>
    </row>
    <row r="2589" spans="1:19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64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5">
        <v>12.52</v>
      </c>
      <c r="P2589" s="65">
        <v>0</v>
      </c>
      <c r="Q2589" s="65">
        <v>0</v>
      </c>
      <c r="R2589" s="65">
        <v>12.52</v>
      </c>
      <c r="S2589" t="s">
        <v>155</v>
      </c>
    </row>
    <row r="2590" spans="1:19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64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5">
        <v>10000</v>
      </c>
      <c r="P2590" s="65">
        <v>0</v>
      </c>
      <c r="Q2590" s="65">
        <v>0</v>
      </c>
      <c r="R2590" s="65">
        <v>10000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64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5">
        <v>300</v>
      </c>
      <c r="P2591" s="65">
        <v>0</v>
      </c>
      <c r="Q2591" s="65">
        <v>0</v>
      </c>
      <c r="R2591" s="65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64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5">
        <v>7.08</v>
      </c>
      <c r="P2592" s="65">
        <v>0</v>
      </c>
      <c r="Q2592" s="65">
        <v>0</v>
      </c>
      <c r="R2592" s="65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64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5">
        <v>7.77</v>
      </c>
      <c r="P2593" s="65">
        <v>0</v>
      </c>
      <c r="Q2593" s="65">
        <v>0</v>
      </c>
      <c r="R2593" s="65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64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5">
        <v>0.04</v>
      </c>
      <c r="P2594" s="65">
        <v>0</v>
      </c>
      <c r="Q2594" s="65">
        <v>0</v>
      </c>
      <c r="R2594" s="65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64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5">
        <v>17</v>
      </c>
      <c r="P2595" s="65">
        <v>0</v>
      </c>
      <c r="Q2595" s="65">
        <v>0</v>
      </c>
      <c r="R2595" s="65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64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5">
        <v>1.6</v>
      </c>
      <c r="P2596" s="65">
        <v>0</v>
      </c>
      <c r="Q2596" s="65">
        <v>0</v>
      </c>
      <c r="R2596" s="65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64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5">
        <v>17.82</v>
      </c>
      <c r="P2597" s="65">
        <v>0</v>
      </c>
      <c r="Q2597" s="65">
        <v>0</v>
      </c>
      <c r="R2597" s="65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64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5">
        <v>1.77</v>
      </c>
      <c r="P2598" s="65">
        <v>0</v>
      </c>
      <c r="Q2598" s="65">
        <v>0</v>
      </c>
      <c r="R2598" s="65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64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5">
        <v>3.13</v>
      </c>
      <c r="P2599" s="65">
        <v>0</v>
      </c>
      <c r="Q2599" s="65">
        <v>0</v>
      </c>
      <c r="R2599" s="65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64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5">
        <v>100</v>
      </c>
      <c r="P2600" s="65">
        <v>0</v>
      </c>
      <c r="Q2600" s="65">
        <v>0</v>
      </c>
      <c r="R2600" s="65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64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5">
        <v>114.78</v>
      </c>
      <c r="P2601" s="65">
        <v>0</v>
      </c>
      <c r="Q2601" s="65">
        <v>0</v>
      </c>
      <c r="R2601" s="65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64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5">
        <v>3.13</v>
      </c>
      <c r="P2602" s="65">
        <v>0</v>
      </c>
      <c r="Q2602" s="65">
        <v>0</v>
      </c>
      <c r="R2602" s="65">
        <v>3.13</v>
      </c>
      <c r="S2602" t="s">
        <v>155</v>
      </c>
    </row>
    <row r="2603" spans="1:19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64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5">
        <v>270</v>
      </c>
      <c r="P2603" s="65">
        <v>0</v>
      </c>
      <c r="Q2603" s="65">
        <v>0</v>
      </c>
      <c r="R2603" s="65">
        <v>270</v>
      </c>
      <c r="S2603" t="s">
        <v>155</v>
      </c>
    </row>
    <row r="2604" spans="1:19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64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5">
        <v>100000</v>
      </c>
      <c r="P2604" s="65">
        <v>0</v>
      </c>
      <c r="Q2604" s="65">
        <v>0</v>
      </c>
      <c r="R2604" s="65">
        <v>100000</v>
      </c>
      <c r="S2604" t="s">
        <v>155</v>
      </c>
    </row>
    <row r="2605" spans="1:19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64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5">
        <v>23.07</v>
      </c>
      <c r="P2605" s="65">
        <v>0</v>
      </c>
      <c r="Q2605" s="65">
        <v>0</v>
      </c>
      <c r="R2605" s="65">
        <v>23.07</v>
      </c>
      <c r="S2605" t="s">
        <v>155</v>
      </c>
    </row>
    <row r="2606" spans="1:19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64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5">
        <v>3250</v>
      </c>
      <c r="P2606" s="65">
        <v>0</v>
      </c>
      <c r="Q2606" s="65">
        <v>0</v>
      </c>
      <c r="R2606" s="65">
        <v>3250</v>
      </c>
      <c r="S2606" t="s">
        <v>155</v>
      </c>
    </row>
    <row r="2607" spans="1:19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64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5">
        <v>100</v>
      </c>
      <c r="P2607" s="65">
        <v>0</v>
      </c>
      <c r="Q2607" s="65">
        <v>0</v>
      </c>
      <c r="R2607" s="65">
        <v>100</v>
      </c>
      <c r="S2607" t="s">
        <v>155</v>
      </c>
    </row>
    <row r="2608" spans="1:19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64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5">
        <v>32</v>
      </c>
      <c r="P2608" s="65">
        <v>0</v>
      </c>
      <c r="Q2608" s="65">
        <v>0</v>
      </c>
      <c r="R2608" s="65">
        <v>32</v>
      </c>
      <c r="S2608" t="s">
        <v>155</v>
      </c>
    </row>
    <row r="2609" spans="1:19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64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5">
        <v>10000</v>
      </c>
      <c r="P2609" s="65">
        <v>0</v>
      </c>
      <c r="Q2609" s="65">
        <v>0</v>
      </c>
      <c r="R2609" s="65">
        <v>10000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64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5">
        <v>250</v>
      </c>
      <c r="P2610" s="65">
        <v>0</v>
      </c>
      <c r="Q2610" s="65">
        <v>0</v>
      </c>
      <c r="R2610" s="65">
        <v>250</v>
      </c>
      <c r="S2610" t="s">
        <v>155</v>
      </c>
    </row>
    <row r="2611" spans="1:19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64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5">
        <v>16536.61</v>
      </c>
      <c r="P2611" s="65">
        <v>0</v>
      </c>
      <c r="Q2611" s="65">
        <v>0</v>
      </c>
      <c r="R2611" s="65">
        <v>16536.61</v>
      </c>
      <c r="S2611" t="s">
        <v>155</v>
      </c>
    </row>
    <row r="2612" spans="1:19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64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5">
        <v>500</v>
      </c>
      <c r="P2612" s="65">
        <v>0</v>
      </c>
      <c r="Q2612" s="65">
        <v>0</v>
      </c>
      <c r="R2612" s="65">
        <v>500</v>
      </c>
      <c r="S2612" t="s">
        <v>155</v>
      </c>
    </row>
    <row r="2613" spans="1:19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64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5">
        <v>250</v>
      </c>
      <c r="P2613" s="65">
        <v>0</v>
      </c>
      <c r="Q2613" s="65">
        <v>0</v>
      </c>
      <c r="R2613" s="65">
        <v>250</v>
      </c>
      <c r="S2613" t="s">
        <v>155</v>
      </c>
    </row>
    <row r="2614" spans="1:19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64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5">
        <v>1.6</v>
      </c>
      <c r="P2614" s="65">
        <v>0</v>
      </c>
      <c r="Q2614" s="65">
        <v>0</v>
      </c>
      <c r="R2614" s="65">
        <v>1.6</v>
      </c>
      <c r="S2614" t="s">
        <v>155</v>
      </c>
    </row>
    <row r="2615" spans="1:19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64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5">
        <v>7.08</v>
      </c>
      <c r="P2615" s="65">
        <v>0</v>
      </c>
      <c r="Q2615" s="65">
        <v>0</v>
      </c>
      <c r="R2615" s="65">
        <v>7.08</v>
      </c>
      <c r="S2615" t="s">
        <v>155</v>
      </c>
    </row>
    <row r="2616" spans="1:19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64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5">
        <v>23347.5</v>
      </c>
      <c r="P2616" s="65">
        <v>0</v>
      </c>
      <c r="Q2616" s="65">
        <v>0</v>
      </c>
      <c r="R2616" s="65">
        <v>23347.5</v>
      </c>
      <c r="S2616" t="s">
        <v>155</v>
      </c>
    </row>
    <row r="2617" spans="1:19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64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5">
        <v>18.78</v>
      </c>
      <c r="P2617" s="65">
        <v>0</v>
      </c>
      <c r="Q2617" s="65">
        <v>0</v>
      </c>
      <c r="R2617" s="65">
        <v>18.78</v>
      </c>
      <c r="S2617" t="s">
        <v>155</v>
      </c>
    </row>
    <row r="2618" spans="1:19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64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5">
        <v>561.20000000000005</v>
      </c>
      <c r="P2618" s="65">
        <v>0</v>
      </c>
      <c r="Q2618" s="65">
        <v>0</v>
      </c>
      <c r="R2618" s="65">
        <v>561.20000000000005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64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5">
        <v>5.94</v>
      </c>
      <c r="P2619" s="65">
        <v>0</v>
      </c>
      <c r="Q2619" s="65">
        <v>0</v>
      </c>
      <c r="R2619" s="65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64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5">
        <v>13.6</v>
      </c>
      <c r="P2620" s="65">
        <v>0</v>
      </c>
      <c r="Q2620" s="65">
        <v>0</v>
      </c>
      <c r="R2620" s="65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64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5">
        <v>1.77</v>
      </c>
      <c r="P2621" s="65">
        <v>0</v>
      </c>
      <c r="Q2621" s="65">
        <v>0</v>
      </c>
      <c r="R2621" s="65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64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5">
        <v>50</v>
      </c>
      <c r="P2622" s="65">
        <v>0</v>
      </c>
      <c r="Q2622" s="65">
        <v>0</v>
      </c>
      <c r="R2622" s="65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64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5">
        <v>10880</v>
      </c>
      <c r="P2623" s="65">
        <v>0</v>
      </c>
      <c r="Q2623" s="65">
        <v>0</v>
      </c>
      <c r="R2623" s="65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64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5">
        <v>2100</v>
      </c>
      <c r="P2624" s="65">
        <v>0</v>
      </c>
      <c r="Q2624" s="65">
        <v>0</v>
      </c>
      <c r="R2624" s="65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64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5">
        <v>2800</v>
      </c>
      <c r="P2625" s="65">
        <v>0</v>
      </c>
      <c r="Q2625" s="65">
        <v>0</v>
      </c>
      <c r="R2625" s="65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64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5">
        <v>2800</v>
      </c>
      <c r="P2626" s="65">
        <v>0</v>
      </c>
      <c r="Q2626" s="65">
        <v>0</v>
      </c>
      <c r="R2626" s="65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64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5">
        <v>3200</v>
      </c>
      <c r="P2627" s="65">
        <v>0</v>
      </c>
      <c r="Q2627" s="65">
        <v>0</v>
      </c>
      <c r="R2627" s="65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64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5">
        <v>2300</v>
      </c>
      <c r="P2628" s="65">
        <v>0</v>
      </c>
      <c r="Q2628" s="65">
        <v>0</v>
      </c>
      <c r="R2628" s="65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64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5">
        <v>500</v>
      </c>
      <c r="P2629" s="65">
        <v>0</v>
      </c>
      <c r="Q2629" s="65">
        <v>0</v>
      </c>
      <c r="R2629" s="65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64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5">
        <v>1700</v>
      </c>
      <c r="P2630" s="65">
        <v>0</v>
      </c>
      <c r="Q2630" s="65">
        <v>0</v>
      </c>
      <c r="R2630" s="65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64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5">
        <v>595</v>
      </c>
      <c r="P2631" s="65">
        <v>0</v>
      </c>
      <c r="Q2631" s="65">
        <v>0</v>
      </c>
      <c r="R2631" s="65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64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5">
        <v>300</v>
      </c>
      <c r="P2632" s="65">
        <v>0</v>
      </c>
      <c r="Q2632" s="65">
        <v>0</v>
      </c>
      <c r="R2632" s="65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64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5">
        <v>94.99</v>
      </c>
      <c r="P2633" s="65">
        <v>0</v>
      </c>
      <c r="Q2633" s="65">
        <v>0</v>
      </c>
      <c r="R2633" s="65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64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5">
        <v>20</v>
      </c>
      <c r="P2634" s="65">
        <v>0</v>
      </c>
      <c r="Q2634" s="65">
        <v>0</v>
      </c>
      <c r="R2634" s="65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64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5">
        <v>139.12</v>
      </c>
      <c r="P2635" s="65">
        <v>0</v>
      </c>
      <c r="Q2635" s="65">
        <v>0</v>
      </c>
      <c r="R2635" s="65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64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5">
        <v>1.77</v>
      </c>
      <c r="P2636" s="65">
        <v>0</v>
      </c>
      <c r="Q2636" s="65">
        <v>0</v>
      </c>
      <c r="R2636" s="65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64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5">
        <v>5.94</v>
      </c>
      <c r="P2637" s="65">
        <v>0</v>
      </c>
      <c r="Q2637" s="65">
        <v>0</v>
      </c>
      <c r="R2637" s="65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64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5">
        <v>9.39</v>
      </c>
      <c r="P2638" s="65">
        <v>0</v>
      </c>
      <c r="Q2638" s="65">
        <v>0</v>
      </c>
      <c r="R2638" s="65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64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5">
        <v>20</v>
      </c>
      <c r="P2639" s="65">
        <v>0</v>
      </c>
      <c r="Q2639" s="65">
        <v>0</v>
      </c>
      <c r="R2639" s="65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64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5">
        <v>360</v>
      </c>
      <c r="P2640" s="65">
        <v>0</v>
      </c>
      <c r="Q2640" s="65">
        <v>0</v>
      </c>
      <c r="R2640" s="65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64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5">
        <v>16.96</v>
      </c>
      <c r="P2641" s="65">
        <v>0</v>
      </c>
      <c r="Q2641" s="65">
        <v>0</v>
      </c>
      <c r="R2641" s="65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64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5">
        <v>16.96</v>
      </c>
      <c r="P2642" s="65">
        <v>0</v>
      </c>
      <c r="Q2642" s="65">
        <v>0</v>
      </c>
      <c r="R2642" s="65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64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5">
        <v>33.799999999999997</v>
      </c>
      <c r="P2643" s="65">
        <v>0</v>
      </c>
      <c r="Q2643" s="65">
        <v>0</v>
      </c>
      <c r="R2643" s="65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64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5">
        <v>100</v>
      </c>
      <c r="P2644" s="65">
        <v>0</v>
      </c>
      <c r="Q2644" s="65">
        <v>0</v>
      </c>
      <c r="R2644" s="65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64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5">
        <v>16</v>
      </c>
      <c r="P2645" s="65">
        <v>0</v>
      </c>
      <c r="Q2645" s="65">
        <v>0</v>
      </c>
      <c r="R2645" s="65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64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5">
        <v>18.78</v>
      </c>
      <c r="P2646" s="65">
        <v>0</v>
      </c>
      <c r="Q2646" s="65">
        <v>0</v>
      </c>
      <c r="R2646" s="65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64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5">
        <v>1400</v>
      </c>
      <c r="P2647" s="65">
        <v>0</v>
      </c>
      <c r="Q2647" s="65">
        <v>0</v>
      </c>
      <c r="R2647" s="65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64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5">
        <v>20</v>
      </c>
      <c r="P2648" s="65">
        <v>0</v>
      </c>
      <c r="Q2648" s="65">
        <v>0</v>
      </c>
      <c r="R2648" s="65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64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5">
        <v>100075.47</v>
      </c>
      <c r="P2649" s="65">
        <v>0</v>
      </c>
      <c r="Q2649" s="65">
        <v>0</v>
      </c>
      <c r="R2649" s="65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64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5">
        <v>200000</v>
      </c>
      <c r="P2650" s="65">
        <v>0</v>
      </c>
      <c r="Q2650" s="65">
        <v>0</v>
      </c>
      <c r="R2650" s="65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64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5">
        <v>26590.080000000002</v>
      </c>
      <c r="P2651" s="65">
        <v>0</v>
      </c>
      <c r="Q2651" s="65">
        <v>0</v>
      </c>
      <c r="R2651" s="65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85</v>
      </c>
      <c r="F2652" t="s">
        <v>17</v>
      </c>
      <c r="G2652" t="s">
        <v>149</v>
      </c>
      <c r="H2652" t="s">
        <v>150</v>
      </c>
      <c r="I2652" t="s">
        <v>151</v>
      </c>
      <c r="J2652" s="64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5">
        <v>14500</v>
      </c>
      <c r="P2652" s="65">
        <v>0</v>
      </c>
      <c r="Q2652" s="65">
        <v>0</v>
      </c>
      <c r="R2652" s="65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64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5">
        <v>749</v>
      </c>
      <c r="P2653" s="65">
        <v>0</v>
      </c>
      <c r="Q2653" s="65">
        <v>0</v>
      </c>
      <c r="R2653" s="65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64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5">
        <v>300</v>
      </c>
      <c r="P2654" s="65">
        <v>0</v>
      </c>
      <c r="Q2654" s="65">
        <v>0</v>
      </c>
      <c r="R2654" s="65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64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5">
        <v>25.95</v>
      </c>
      <c r="P2655" s="65">
        <v>0</v>
      </c>
      <c r="Q2655" s="65">
        <v>0</v>
      </c>
      <c r="R2655" s="65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64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5">
        <v>796.25</v>
      </c>
      <c r="P2656" s="65">
        <v>0</v>
      </c>
      <c r="Q2656" s="65">
        <v>0</v>
      </c>
      <c r="R2656" s="65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64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5">
        <v>723.16</v>
      </c>
      <c r="P2657" s="65">
        <v>0</v>
      </c>
      <c r="Q2657" s="65">
        <v>0</v>
      </c>
      <c r="R2657" s="65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64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5">
        <v>1.77</v>
      </c>
      <c r="P2658" s="65">
        <v>0</v>
      </c>
      <c r="Q2658" s="65">
        <v>0</v>
      </c>
      <c r="R2658" s="65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64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5">
        <v>2400</v>
      </c>
      <c r="P2659" s="65">
        <v>0</v>
      </c>
      <c r="Q2659" s="65">
        <v>0</v>
      </c>
      <c r="R2659" s="65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64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5">
        <v>100</v>
      </c>
      <c r="P2660" s="65">
        <v>0</v>
      </c>
      <c r="Q2660" s="65">
        <v>0</v>
      </c>
      <c r="R2660" s="65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64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5">
        <v>50</v>
      </c>
      <c r="P2661" s="65">
        <v>0</v>
      </c>
      <c r="Q2661" s="65">
        <v>0</v>
      </c>
      <c r="R2661" s="65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64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5">
        <v>53500</v>
      </c>
      <c r="P2662" s="65">
        <v>0</v>
      </c>
      <c r="Q2662" s="65">
        <v>0</v>
      </c>
      <c r="R2662" s="65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64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5">
        <v>37450</v>
      </c>
      <c r="P2663" s="65">
        <v>0</v>
      </c>
      <c r="Q2663" s="65">
        <v>0</v>
      </c>
      <c r="R2663" s="65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64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5">
        <v>45511</v>
      </c>
      <c r="P2664" s="65">
        <v>0</v>
      </c>
      <c r="Q2664" s="65">
        <v>0</v>
      </c>
      <c r="R2664" s="65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64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5">
        <v>34444.199999999997</v>
      </c>
      <c r="P2665" s="65">
        <v>0</v>
      </c>
      <c r="Q2665" s="65">
        <v>0</v>
      </c>
      <c r="R2665" s="65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64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5">
        <v>11.88</v>
      </c>
      <c r="P2666" s="65">
        <v>0</v>
      </c>
      <c r="Q2666" s="65">
        <v>0</v>
      </c>
      <c r="R2666" s="65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64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5">
        <v>3.13</v>
      </c>
      <c r="P2667" s="65">
        <v>0</v>
      </c>
      <c r="Q2667" s="65">
        <v>0</v>
      </c>
      <c r="R2667" s="65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64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5">
        <v>0.04</v>
      </c>
      <c r="P2668" s="65">
        <v>0</v>
      </c>
      <c r="Q2668" s="65">
        <v>0</v>
      </c>
      <c r="R2668" s="65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64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5">
        <v>304.89</v>
      </c>
      <c r="P2669" s="65">
        <v>0</v>
      </c>
      <c r="Q2669" s="65">
        <v>0</v>
      </c>
      <c r="R2669" s="65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64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5">
        <v>214.86</v>
      </c>
      <c r="P2670" s="65">
        <v>0</v>
      </c>
      <c r="Q2670" s="65">
        <v>0</v>
      </c>
      <c r="R2670" s="65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64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5">
        <v>136.16999999999999</v>
      </c>
      <c r="P2671" s="65">
        <v>0</v>
      </c>
      <c r="Q2671" s="65">
        <v>0</v>
      </c>
      <c r="R2671" s="65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64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5">
        <v>4496.8599999999997</v>
      </c>
      <c r="P2672" s="65">
        <v>0</v>
      </c>
      <c r="Q2672" s="65">
        <v>0</v>
      </c>
      <c r="R2672" s="65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64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5">
        <v>795</v>
      </c>
      <c r="P2673" s="65">
        <v>0</v>
      </c>
      <c r="Q2673" s="65">
        <v>0</v>
      </c>
      <c r="R2673" s="65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64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5">
        <v>250</v>
      </c>
      <c r="P2674" s="65">
        <v>0</v>
      </c>
      <c r="Q2674" s="65">
        <v>0</v>
      </c>
      <c r="R2674" s="65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64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5">
        <v>20477.98</v>
      </c>
      <c r="P2675" s="65">
        <v>0</v>
      </c>
      <c r="Q2675" s="65">
        <v>0</v>
      </c>
      <c r="R2675" s="65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64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5">
        <v>250</v>
      </c>
      <c r="P2676" s="65">
        <v>0</v>
      </c>
      <c r="Q2676" s="65">
        <v>0</v>
      </c>
      <c r="R2676" s="65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64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5">
        <v>15.93</v>
      </c>
      <c r="P2677" s="65">
        <v>0</v>
      </c>
      <c r="Q2677" s="65">
        <v>0</v>
      </c>
      <c r="R2677" s="65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64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5">
        <v>96.97</v>
      </c>
      <c r="P2678" s="65">
        <v>0</v>
      </c>
      <c r="Q2678" s="65">
        <v>0</v>
      </c>
      <c r="R2678" s="65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64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5">
        <v>19</v>
      </c>
      <c r="P2679" s="65">
        <v>0</v>
      </c>
      <c r="Q2679" s="65">
        <v>0</v>
      </c>
      <c r="R2679" s="65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64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5">
        <v>2.59</v>
      </c>
      <c r="P2680" s="65">
        <v>0</v>
      </c>
      <c r="Q2680" s="65">
        <v>0</v>
      </c>
      <c r="R2680" s="65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64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5">
        <v>6.8</v>
      </c>
      <c r="P2681" s="65">
        <v>0</v>
      </c>
      <c r="Q2681" s="65">
        <v>0</v>
      </c>
      <c r="R2681" s="65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64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5">
        <v>234</v>
      </c>
      <c r="P2682" s="65">
        <v>0</v>
      </c>
      <c r="Q2682" s="65">
        <v>0</v>
      </c>
      <c r="R2682" s="65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64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5">
        <v>20</v>
      </c>
      <c r="P2683" s="65">
        <v>0</v>
      </c>
      <c r="Q2683" s="65">
        <v>0</v>
      </c>
      <c r="R2683" s="65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64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5">
        <v>45.68</v>
      </c>
      <c r="P2684" s="65">
        <v>0</v>
      </c>
      <c r="Q2684" s="65">
        <v>0</v>
      </c>
      <c r="R2684" s="65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64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5">
        <v>178</v>
      </c>
      <c r="P2685" s="65">
        <v>0</v>
      </c>
      <c r="Q2685" s="65">
        <v>0</v>
      </c>
      <c r="R2685" s="65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64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5">
        <v>200</v>
      </c>
      <c r="P2686" s="65">
        <v>0</v>
      </c>
      <c r="Q2686" s="65">
        <v>0</v>
      </c>
      <c r="R2686" s="65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64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5">
        <v>5.31</v>
      </c>
      <c r="P2687" s="65">
        <v>0</v>
      </c>
      <c r="Q2687" s="65">
        <v>0</v>
      </c>
      <c r="R2687" s="65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64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5">
        <v>127250</v>
      </c>
      <c r="P2688" s="65">
        <v>0</v>
      </c>
      <c r="Q2688" s="65">
        <v>0</v>
      </c>
      <c r="R2688" s="65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64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5">
        <v>63391.5</v>
      </c>
      <c r="P2689" s="65">
        <v>0</v>
      </c>
      <c r="Q2689" s="65">
        <v>0</v>
      </c>
      <c r="R2689" s="65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64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5">
        <v>16.920000000000002</v>
      </c>
      <c r="P2690" s="65">
        <v>0</v>
      </c>
      <c r="Q2690" s="65">
        <v>0</v>
      </c>
      <c r="R2690" s="65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64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5">
        <v>5.94</v>
      </c>
      <c r="P2691" s="65">
        <v>0</v>
      </c>
      <c r="Q2691" s="65">
        <v>0</v>
      </c>
      <c r="R2691" s="65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64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5">
        <v>3.4</v>
      </c>
      <c r="P2692" s="65">
        <v>0</v>
      </c>
      <c r="Q2692" s="65">
        <v>0</v>
      </c>
      <c r="R2692" s="65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64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5">
        <v>12</v>
      </c>
      <c r="P2693" s="65">
        <v>0</v>
      </c>
      <c r="Q2693" s="65">
        <v>0</v>
      </c>
      <c r="R2693" s="65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64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5">
        <v>561.20000000000005</v>
      </c>
      <c r="P2694" s="65">
        <v>0</v>
      </c>
      <c r="Q2694" s="65">
        <v>0</v>
      </c>
      <c r="R2694" s="65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64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5">
        <v>500</v>
      </c>
      <c r="P2695" s="65">
        <v>0</v>
      </c>
      <c r="Q2695" s="65">
        <v>0</v>
      </c>
      <c r="R2695" s="65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64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5">
        <v>369.02</v>
      </c>
      <c r="P2696" s="65">
        <v>0</v>
      </c>
      <c r="Q2696" s="65">
        <v>0</v>
      </c>
      <c r="R2696" s="65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64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5">
        <v>354.08</v>
      </c>
      <c r="P2697" s="65">
        <v>0</v>
      </c>
      <c r="Q2697" s="65">
        <v>0</v>
      </c>
      <c r="R2697" s="65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64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5">
        <v>267.27</v>
      </c>
      <c r="P2698" s="65">
        <v>0</v>
      </c>
      <c r="Q2698" s="65">
        <v>0</v>
      </c>
      <c r="R2698" s="65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64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5">
        <v>41</v>
      </c>
      <c r="P2699" s="65">
        <v>0</v>
      </c>
      <c r="Q2699" s="65">
        <v>0</v>
      </c>
      <c r="R2699" s="65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64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5">
        <v>58</v>
      </c>
      <c r="P2700" s="65">
        <v>0</v>
      </c>
      <c r="Q2700" s="65">
        <v>0</v>
      </c>
      <c r="R2700" s="65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64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5">
        <v>198.88</v>
      </c>
      <c r="P2701" s="65">
        <v>0</v>
      </c>
      <c r="Q2701" s="65">
        <v>0</v>
      </c>
      <c r="R2701" s="65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64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5">
        <v>750</v>
      </c>
      <c r="P2702" s="65">
        <v>0</v>
      </c>
      <c r="Q2702" s="65">
        <v>0</v>
      </c>
      <c r="R2702" s="65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64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5">
        <v>375.02</v>
      </c>
      <c r="P2703" s="65">
        <v>0</v>
      </c>
      <c r="Q2703" s="65">
        <v>0</v>
      </c>
      <c r="R2703" s="65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64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5">
        <v>475</v>
      </c>
      <c r="P2704" s="65">
        <v>0</v>
      </c>
      <c r="Q2704" s="65">
        <v>0</v>
      </c>
      <c r="R2704" s="65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64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5">
        <v>108</v>
      </c>
      <c r="P2705" s="65">
        <v>0</v>
      </c>
      <c r="Q2705" s="65">
        <v>0</v>
      </c>
      <c r="R2705" s="65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64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5">
        <v>167.84</v>
      </c>
      <c r="P2706" s="65">
        <v>0</v>
      </c>
      <c r="Q2706" s="65">
        <v>0</v>
      </c>
      <c r="R2706" s="65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64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5">
        <v>107.97</v>
      </c>
      <c r="P2707" s="65">
        <v>0</v>
      </c>
      <c r="Q2707" s="65">
        <v>0</v>
      </c>
      <c r="R2707" s="65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64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5">
        <v>99.9</v>
      </c>
      <c r="P2708" s="65">
        <v>0</v>
      </c>
      <c r="Q2708" s="65">
        <v>0</v>
      </c>
      <c r="R2708" s="65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64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5">
        <v>179.75</v>
      </c>
      <c r="P2709" s="65">
        <v>0</v>
      </c>
      <c r="Q2709" s="65">
        <v>0</v>
      </c>
      <c r="R2709" s="65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64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5">
        <v>696.37</v>
      </c>
      <c r="P2710" s="65">
        <v>0</v>
      </c>
      <c r="Q2710" s="65">
        <v>0</v>
      </c>
      <c r="R2710" s="65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64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5">
        <v>25</v>
      </c>
      <c r="P2711" s="65">
        <v>0</v>
      </c>
      <c r="Q2711" s="65">
        <v>0</v>
      </c>
      <c r="R2711" s="65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64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5">
        <v>102</v>
      </c>
      <c r="P2712" s="65">
        <v>0</v>
      </c>
      <c r="Q2712" s="65">
        <v>0</v>
      </c>
      <c r="R2712" s="65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64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5">
        <v>30</v>
      </c>
      <c r="P2713" s="65">
        <v>0</v>
      </c>
      <c r="Q2713" s="65">
        <v>0</v>
      </c>
      <c r="R2713" s="65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64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5">
        <v>333.91</v>
      </c>
      <c r="P2714" s="65">
        <v>0</v>
      </c>
      <c r="Q2714" s="65">
        <v>0</v>
      </c>
      <c r="R2714" s="65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64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5">
        <v>57</v>
      </c>
      <c r="P2715" s="65">
        <v>0</v>
      </c>
      <c r="Q2715" s="65">
        <v>0</v>
      </c>
      <c r="R2715" s="65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64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5">
        <v>45</v>
      </c>
      <c r="P2716" s="65">
        <v>0</v>
      </c>
      <c r="Q2716" s="65">
        <v>0</v>
      </c>
      <c r="R2716" s="65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64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5">
        <v>72.98</v>
      </c>
      <c r="P2717" s="65">
        <v>0</v>
      </c>
      <c r="Q2717" s="65">
        <v>0</v>
      </c>
      <c r="R2717" s="65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64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5">
        <v>100</v>
      </c>
      <c r="P2718" s="65">
        <v>0</v>
      </c>
      <c r="Q2718" s="65">
        <v>0</v>
      </c>
      <c r="R2718" s="65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64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5">
        <v>250</v>
      </c>
      <c r="P2719" s="65">
        <v>0</v>
      </c>
      <c r="Q2719" s="65">
        <v>0</v>
      </c>
      <c r="R2719" s="65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64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5">
        <v>587.44000000000005</v>
      </c>
      <c r="P2720" s="65">
        <v>0</v>
      </c>
      <c r="Q2720" s="65">
        <v>0</v>
      </c>
      <c r="R2720" s="65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64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5">
        <v>111.92</v>
      </c>
      <c r="P2721" s="65">
        <v>0</v>
      </c>
      <c r="Q2721" s="65">
        <v>0</v>
      </c>
      <c r="R2721" s="65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64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5">
        <v>20</v>
      </c>
      <c r="P2722" s="65">
        <v>0</v>
      </c>
      <c r="Q2722" s="65">
        <v>0</v>
      </c>
      <c r="R2722" s="65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64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5">
        <v>35.99</v>
      </c>
      <c r="P2723" s="65">
        <v>0</v>
      </c>
      <c r="Q2723" s="65">
        <v>0</v>
      </c>
      <c r="R2723" s="65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64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5">
        <v>150</v>
      </c>
      <c r="P2724" s="65">
        <v>0</v>
      </c>
      <c r="Q2724" s="65">
        <v>0</v>
      </c>
      <c r="R2724" s="65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64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5">
        <v>169.5</v>
      </c>
      <c r="P2725" s="65">
        <v>0</v>
      </c>
      <c r="Q2725" s="65">
        <v>0</v>
      </c>
      <c r="R2725" s="65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64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5">
        <v>104.7</v>
      </c>
      <c r="P2726" s="65">
        <v>0</v>
      </c>
      <c r="Q2726" s="65">
        <v>0</v>
      </c>
      <c r="R2726" s="65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64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5">
        <v>273.55</v>
      </c>
      <c r="P2727" s="65">
        <v>0</v>
      </c>
      <c r="Q2727" s="65">
        <v>0</v>
      </c>
      <c r="R2727" s="65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64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5">
        <v>1915.38</v>
      </c>
      <c r="P2728" s="65">
        <v>0</v>
      </c>
      <c r="Q2728" s="65">
        <v>0</v>
      </c>
      <c r="R2728" s="65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64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5">
        <v>1.77</v>
      </c>
      <c r="P2729" s="65">
        <v>0</v>
      </c>
      <c r="Q2729" s="65">
        <v>0</v>
      </c>
      <c r="R2729" s="65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64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5">
        <v>285</v>
      </c>
      <c r="P2730" s="65">
        <v>0</v>
      </c>
      <c r="Q2730" s="65">
        <v>0</v>
      </c>
      <c r="R2730" s="65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64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5">
        <v>3.13</v>
      </c>
      <c r="P2731" s="65">
        <v>0</v>
      </c>
      <c r="Q2731" s="65">
        <v>0</v>
      </c>
      <c r="R2731" s="65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64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5">
        <v>3.13</v>
      </c>
      <c r="P2732" s="65">
        <v>0</v>
      </c>
      <c r="Q2732" s="65">
        <v>0</v>
      </c>
      <c r="R2732" s="65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64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5">
        <v>17.940000000000001</v>
      </c>
      <c r="P2733" s="65">
        <v>0</v>
      </c>
      <c r="Q2733" s="65">
        <v>0</v>
      </c>
      <c r="R2733" s="65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64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5">
        <v>305</v>
      </c>
      <c r="P2734" s="65">
        <v>0</v>
      </c>
      <c r="Q2734" s="65">
        <v>0</v>
      </c>
      <c r="R2734" s="65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64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5">
        <v>19.98</v>
      </c>
      <c r="P2735" s="65">
        <v>0</v>
      </c>
      <c r="Q2735" s="65">
        <v>0</v>
      </c>
      <c r="R2735" s="65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64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5">
        <v>3.54</v>
      </c>
      <c r="P2736" s="65">
        <v>0</v>
      </c>
      <c r="Q2736" s="65">
        <v>0</v>
      </c>
      <c r="R2736" s="65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64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5">
        <v>12.55</v>
      </c>
      <c r="P2737" s="65">
        <v>0</v>
      </c>
      <c r="Q2737" s="65">
        <v>0</v>
      </c>
      <c r="R2737" s="65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64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5">
        <v>17.91</v>
      </c>
      <c r="P2738" s="65">
        <v>0</v>
      </c>
      <c r="Q2738" s="65">
        <v>0</v>
      </c>
      <c r="R2738" s="65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64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5">
        <v>5.94</v>
      </c>
      <c r="P2739" s="65">
        <v>0</v>
      </c>
      <c r="Q2739" s="65">
        <v>0</v>
      </c>
      <c r="R2739" s="65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64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5">
        <v>30.6</v>
      </c>
      <c r="P2740" s="65">
        <v>0</v>
      </c>
      <c r="Q2740" s="65">
        <v>0</v>
      </c>
      <c r="R2740" s="65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64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5">
        <v>6.26</v>
      </c>
      <c r="P2741" s="65">
        <v>0</v>
      </c>
      <c r="Q2741" s="65">
        <v>0</v>
      </c>
      <c r="R2741" s="65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64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5">
        <v>72.040000000000006</v>
      </c>
      <c r="P2742" s="65">
        <v>0</v>
      </c>
      <c r="Q2742" s="65">
        <v>0</v>
      </c>
      <c r="R2742" s="65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64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5">
        <v>34020.699999999997</v>
      </c>
      <c r="P2743" s="65">
        <v>0</v>
      </c>
      <c r="Q2743" s="65">
        <v>0</v>
      </c>
      <c r="R2743" s="65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64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5">
        <v>34020.699999999997</v>
      </c>
      <c r="P2744" s="65">
        <v>0</v>
      </c>
      <c r="Q2744" s="65">
        <v>0</v>
      </c>
      <c r="R2744" s="65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64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5">
        <v>17902.07</v>
      </c>
      <c r="P2745" s="65">
        <v>0</v>
      </c>
      <c r="Q2745" s="65">
        <v>0</v>
      </c>
      <c r="R2745" s="65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64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5">
        <v>17902.07</v>
      </c>
      <c r="P2746" s="65">
        <v>0</v>
      </c>
      <c r="Q2746" s="65">
        <v>0</v>
      </c>
      <c r="R2746" s="65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64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5">
        <v>44902.23</v>
      </c>
      <c r="P2747" s="65">
        <v>0</v>
      </c>
      <c r="Q2747" s="65">
        <v>0</v>
      </c>
      <c r="R2747" s="65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64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5">
        <v>390</v>
      </c>
      <c r="P2748" s="65">
        <v>0</v>
      </c>
      <c r="Q2748" s="65">
        <v>0</v>
      </c>
      <c r="R2748" s="65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64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5">
        <v>3.13</v>
      </c>
      <c r="P2749" s="65">
        <v>0</v>
      </c>
      <c r="Q2749" s="65">
        <v>0</v>
      </c>
      <c r="R2749" s="65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64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5">
        <v>44.2</v>
      </c>
      <c r="P2750" s="65">
        <v>0</v>
      </c>
      <c r="Q2750" s="65">
        <v>0</v>
      </c>
      <c r="R2750" s="65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64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5">
        <v>20</v>
      </c>
      <c r="P2751" s="65">
        <v>0</v>
      </c>
      <c r="Q2751" s="65">
        <v>0</v>
      </c>
      <c r="R2751" s="65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64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5">
        <v>65</v>
      </c>
      <c r="P2752" s="65">
        <v>0</v>
      </c>
      <c r="Q2752" s="65">
        <v>0</v>
      </c>
      <c r="R2752" s="65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64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5">
        <v>1.77</v>
      </c>
      <c r="P2753" s="65">
        <v>0</v>
      </c>
      <c r="Q2753" s="65">
        <v>0</v>
      </c>
      <c r="R2753" s="65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64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5">
        <v>104.22</v>
      </c>
      <c r="P2754" s="65">
        <v>0</v>
      </c>
      <c r="Q2754" s="65">
        <v>0</v>
      </c>
      <c r="R2754" s="65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64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5">
        <v>10.199999999999999</v>
      </c>
      <c r="P2755" s="65">
        <v>0</v>
      </c>
      <c r="Q2755" s="65">
        <v>0</v>
      </c>
      <c r="R2755" s="65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64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5">
        <v>47.06</v>
      </c>
      <c r="P2756" s="65">
        <v>0</v>
      </c>
      <c r="Q2756" s="65">
        <v>0</v>
      </c>
      <c r="R2756" s="65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64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5">
        <v>250</v>
      </c>
      <c r="P2757" s="65">
        <v>0</v>
      </c>
      <c r="Q2757" s="65">
        <v>0</v>
      </c>
      <c r="R2757" s="65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64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5">
        <v>1000</v>
      </c>
      <c r="P2758" s="65">
        <v>0</v>
      </c>
      <c r="Q2758" s="65">
        <v>0</v>
      </c>
      <c r="R2758" s="65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64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5">
        <v>34.99</v>
      </c>
      <c r="P2759" s="65">
        <v>0</v>
      </c>
      <c r="Q2759" s="65">
        <v>0</v>
      </c>
      <c r="R2759" s="65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64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5">
        <v>17.670000000000002</v>
      </c>
      <c r="P2760" s="65">
        <v>0</v>
      </c>
      <c r="Q2760" s="65">
        <v>0</v>
      </c>
      <c r="R2760" s="65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64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5">
        <v>5.94</v>
      </c>
      <c r="P2761" s="65">
        <v>0</v>
      </c>
      <c r="Q2761" s="65">
        <v>0</v>
      </c>
      <c r="R2761" s="65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64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5">
        <v>20.399999999999999</v>
      </c>
      <c r="P2762" s="65">
        <v>0</v>
      </c>
      <c r="Q2762" s="65">
        <v>0</v>
      </c>
      <c r="R2762" s="65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64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5">
        <v>3.13</v>
      </c>
      <c r="P2763" s="65">
        <v>0</v>
      </c>
      <c r="Q2763" s="65">
        <v>0</v>
      </c>
      <c r="R2763" s="65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64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5">
        <v>5895.1</v>
      </c>
      <c r="P2764" s="65">
        <v>0</v>
      </c>
      <c r="Q2764" s="65">
        <v>0</v>
      </c>
      <c r="R2764" s="65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64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5">
        <v>7</v>
      </c>
      <c r="P2765" s="65">
        <v>0</v>
      </c>
      <c r="Q2765" s="65">
        <v>0</v>
      </c>
      <c r="R2765" s="65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64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5">
        <v>137</v>
      </c>
      <c r="P2766" s="65">
        <v>0</v>
      </c>
      <c r="Q2766" s="65">
        <v>0</v>
      </c>
      <c r="R2766" s="65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64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5">
        <v>49.23</v>
      </c>
      <c r="P2767" s="65">
        <v>0</v>
      </c>
      <c r="Q2767" s="65">
        <v>0</v>
      </c>
      <c r="R2767" s="65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64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5">
        <v>71.98</v>
      </c>
      <c r="P2768" s="65">
        <v>0</v>
      </c>
      <c r="Q2768" s="65">
        <v>0</v>
      </c>
      <c r="R2768" s="65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64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5">
        <v>848.34</v>
      </c>
      <c r="P2769" s="65">
        <v>0</v>
      </c>
      <c r="Q2769" s="65">
        <v>0</v>
      </c>
      <c r="R2769" s="65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64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5">
        <v>922</v>
      </c>
      <c r="P2770" s="65">
        <v>0</v>
      </c>
      <c r="Q2770" s="65">
        <v>0</v>
      </c>
      <c r="R2770" s="65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64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5">
        <v>81.3</v>
      </c>
      <c r="P2771" s="65">
        <v>0</v>
      </c>
      <c r="Q2771" s="65">
        <v>0</v>
      </c>
      <c r="R2771" s="65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64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5">
        <v>1045.8399999999999</v>
      </c>
      <c r="P2772" s="65">
        <v>0</v>
      </c>
      <c r="Q2772" s="65">
        <v>0</v>
      </c>
      <c r="R2772" s="65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64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5">
        <v>475.98</v>
      </c>
      <c r="P2773" s="65">
        <v>0</v>
      </c>
      <c r="Q2773" s="65">
        <v>0</v>
      </c>
      <c r="R2773" s="65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64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5">
        <v>3.54</v>
      </c>
      <c r="P2774" s="65">
        <v>0</v>
      </c>
      <c r="Q2774" s="65">
        <v>0</v>
      </c>
      <c r="R2774" s="65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64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5">
        <v>178.35</v>
      </c>
      <c r="P2775" s="65">
        <v>0</v>
      </c>
      <c r="Q2775" s="65">
        <v>0</v>
      </c>
      <c r="R2775" s="65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64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5">
        <v>17.91</v>
      </c>
      <c r="P2776" s="65">
        <v>0</v>
      </c>
      <c r="Q2776" s="65">
        <v>0</v>
      </c>
      <c r="R2776" s="65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64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5">
        <v>6.26</v>
      </c>
      <c r="P2777" s="65">
        <v>0</v>
      </c>
      <c r="Q2777" s="65">
        <v>0</v>
      </c>
      <c r="R2777" s="65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64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5">
        <v>23.8</v>
      </c>
      <c r="P2778" s="65">
        <v>0</v>
      </c>
      <c r="Q2778" s="65">
        <v>0</v>
      </c>
      <c r="R2778" s="65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64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5">
        <v>56948.89</v>
      </c>
      <c r="P2779" s="65">
        <v>0</v>
      </c>
      <c r="Q2779" s="65">
        <v>0</v>
      </c>
      <c r="R2779" s="65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64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5">
        <v>14204.23</v>
      </c>
      <c r="P2780" s="65">
        <v>0</v>
      </c>
      <c r="Q2780" s="65">
        <v>0</v>
      </c>
      <c r="R2780" s="65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64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5">
        <v>440.89</v>
      </c>
      <c r="P2781" s="65">
        <v>0</v>
      </c>
      <c r="Q2781" s="65">
        <v>0</v>
      </c>
      <c r="R2781" s="65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64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5">
        <v>95.74</v>
      </c>
      <c r="P2782" s="65">
        <v>0</v>
      </c>
      <c r="Q2782" s="65">
        <v>0</v>
      </c>
      <c r="R2782" s="65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64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5">
        <v>427.69</v>
      </c>
      <c r="P2783" s="65">
        <v>0</v>
      </c>
      <c r="Q2783" s="65">
        <v>0</v>
      </c>
      <c r="R2783" s="65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64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5">
        <v>33.799999999999997</v>
      </c>
      <c r="P2784" s="65">
        <v>0</v>
      </c>
      <c r="Q2784" s="65">
        <v>0</v>
      </c>
      <c r="R2784" s="65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64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5">
        <v>16.940000000000001</v>
      </c>
      <c r="P2785" s="65">
        <v>0</v>
      </c>
      <c r="Q2785" s="65">
        <v>0</v>
      </c>
      <c r="R2785" s="65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64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5">
        <v>1180</v>
      </c>
      <c r="P2786" s="65">
        <v>0</v>
      </c>
      <c r="Q2786" s="65">
        <v>0</v>
      </c>
      <c r="R2786" s="65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64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5">
        <v>35</v>
      </c>
      <c r="P2787" s="65">
        <v>0</v>
      </c>
      <c r="Q2787" s="65">
        <v>0</v>
      </c>
      <c r="R2787" s="65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64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5">
        <v>200</v>
      </c>
      <c r="P2788" s="65">
        <v>0</v>
      </c>
      <c r="Q2788" s="65">
        <v>0</v>
      </c>
      <c r="R2788" s="65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64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5">
        <v>140</v>
      </c>
      <c r="P2789" s="65">
        <v>0</v>
      </c>
      <c r="Q2789" s="65">
        <v>0</v>
      </c>
      <c r="R2789" s="65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64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5">
        <v>79.900000000000006</v>
      </c>
      <c r="P2790" s="65">
        <v>0</v>
      </c>
      <c r="Q2790" s="65">
        <v>0</v>
      </c>
      <c r="R2790" s="65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64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5">
        <v>2.59</v>
      </c>
      <c r="P2791" s="65">
        <v>0</v>
      </c>
      <c r="Q2791" s="65">
        <v>0</v>
      </c>
      <c r="R2791" s="65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64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5">
        <v>9.39</v>
      </c>
      <c r="P2792" s="65">
        <v>0</v>
      </c>
      <c r="Q2792" s="65">
        <v>0</v>
      </c>
      <c r="R2792" s="65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64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5">
        <v>3.13</v>
      </c>
      <c r="P2793" s="65">
        <v>0</v>
      </c>
      <c r="Q2793" s="65">
        <v>0</v>
      </c>
      <c r="R2793" s="65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64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5">
        <v>13.6</v>
      </c>
      <c r="P2794" s="65">
        <v>0</v>
      </c>
      <c r="Q2794" s="65">
        <v>0</v>
      </c>
      <c r="R2794" s="65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64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5">
        <v>1000</v>
      </c>
      <c r="P2795" s="65">
        <v>0</v>
      </c>
      <c r="Q2795" s="65">
        <v>0</v>
      </c>
      <c r="R2795" s="65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64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5">
        <v>38.880000000000003</v>
      </c>
      <c r="P2796" s="65">
        <v>0</v>
      </c>
      <c r="Q2796" s="65">
        <v>0</v>
      </c>
      <c r="R2796" s="65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64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5">
        <v>5.31</v>
      </c>
      <c r="P2797" s="65">
        <v>0</v>
      </c>
      <c r="Q2797" s="65">
        <v>0</v>
      </c>
      <c r="R2797" s="65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64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5">
        <v>6.8</v>
      </c>
      <c r="P2798" s="65">
        <v>0</v>
      </c>
      <c r="Q2798" s="65">
        <v>0</v>
      </c>
      <c r="R2798" s="65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64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5">
        <v>18.96</v>
      </c>
      <c r="P2799" s="65">
        <v>0</v>
      </c>
      <c r="Q2799" s="65">
        <v>0</v>
      </c>
      <c r="R2799" s="65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64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5">
        <v>100000</v>
      </c>
      <c r="P2800" s="65">
        <v>0</v>
      </c>
      <c r="Q2800" s="65">
        <v>0</v>
      </c>
      <c r="R2800" s="65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64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5">
        <v>26</v>
      </c>
      <c r="P2801" s="65">
        <v>0</v>
      </c>
      <c r="Q2801" s="65">
        <v>0</v>
      </c>
      <c r="R2801" s="65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64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5">
        <v>100</v>
      </c>
      <c r="P2802" s="65">
        <v>0</v>
      </c>
      <c r="Q2802" s="65">
        <v>0</v>
      </c>
      <c r="R2802" s="65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64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5">
        <v>20</v>
      </c>
      <c r="P2803" s="65">
        <v>0</v>
      </c>
      <c r="Q2803" s="65">
        <v>0</v>
      </c>
      <c r="R2803" s="65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64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5">
        <v>3.54</v>
      </c>
      <c r="P2804" s="65">
        <v>0</v>
      </c>
      <c r="Q2804" s="65">
        <v>0</v>
      </c>
      <c r="R2804" s="65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64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5">
        <v>3.13</v>
      </c>
      <c r="P2805" s="65">
        <v>0</v>
      </c>
      <c r="Q2805" s="65">
        <v>0</v>
      </c>
      <c r="R2805" s="65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64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5">
        <v>10.199999999999999</v>
      </c>
      <c r="P2806" s="65">
        <v>0</v>
      </c>
      <c r="Q2806" s="65">
        <v>0</v>
      </c>
      <c r="R2806" s="65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64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5">
        <v>8282.91</v>
      </c>
      <c r="P2807" s="65">
        <v>0</v>
      </c>
      <c r="Q2807" s="65">
        <v>0</v>
      </c>
      <c r="R2807" s="65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64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5">
        <v>4175</v>
      </c>
      <c r="P2808" s="65">
        <v>0</v>
      </c>
      <c r="Q2808" s="65">
        <v>0</v>
      </c>
      <c r="R2808" s="65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64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5">
        <v>26</v>
      </c>
      <c r="P2809" s="65">
        <v>0</v>
      </c>
      <c r="Q2809" s="65">
        <v>0</v>
      </c>
      <c r="R2809" s="65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64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5">
        <v>357.16</v>
      </c>
      <c r="P2810" s="65">
        <v>0</v>
      </c>
      <c r="Q2810" s="65">
        <v>0</v>
      </c>
      <c r="R2810" s="65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64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5">
        <v>17.82</v>
      </c>
      <c r="P2811" s="65">
        <v>0</v>
      </c>
      <c r="Q2811" s="65">
        <v>0</v>
      </c>
      <c r="R2811" s="65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64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5">
        <v>0.16</v>
      </c>
      <c r="P2812" s="65">
        <v>0</v>
      </c>
      <c r="Q2812" s="65">
        <v>0</v>
      </c>
      <c r="R2812" s="65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64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5">
        <v>100</v>
      </c>
      <c r="P2813" s="65">
        <v>0</v>
      </c>
      <c r="Q2813" s="65">
        <v>0</v>
      </c>
      <c r="R2813" s="65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64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5">
        <v>1399.86</v>
      </c>
      <c r="P2814" s="65">
        <v>0</v>
      </c>
      <c r="Q2814" s="65">
        <v>0</v>
      </c>
      <c r="R2814" s="65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64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5">
        <v>10</v>
      </c>
      <c r="P2815" s="65">
        <v>0</v>
      </c>
      <c r="Q2815" s="65">
        <v>0</v>
      </c>
      <c r="R2815" s="65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64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5">
        <v>114.78</v>
      </c>
      <c r="P2816" s="65">
        <v>0</v>
      </c>
      <c r="Q2816" s="65">
        <v>0</v>
      </c>
      <c r="R2816" s="65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64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5">
        <v>1.77</v>
      </c>
      <c r="P2817" s="65">
        <v>0</v>
      </c>
      <c r="Q2817" s="65">
        <v>0</v>
      </c>
      <c r="R2817" s="65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64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5">
        <v>189</v>
      </c>
      <c r="P2818" s="65">
        <v>0</v>
      </c>
      <c r="Q2818" s="65">
        <v>0</v>
      </c>
      <c r="R2818" s="65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64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5">
        <v>100</v>
      </c>
      <c r="P2819" s="65">
        <v>0</v>
      </c>
      <c r="Q2819" s="65">
        <v>0</v>
      </c>
      <c r="R2819" s="65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64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5">
        <v>50</v>
      </c>
      <c r="P2820" s="65">
        <v>0</v>
      </c>
      <c r="Q2820" s="65">
        <v>0</v>
      </c>
      <c r="R2820" s="65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64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5">
        <v>3.13</v>
      </c>
      <c r="P2821" s="65">
        <v>0</v>
      </c>
      <c r="Q2821" s="65">
        <v>0</v>
      </c>
      <c r="R2821" s="65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64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5">
        <v>27.2</v>
      </c>
      <c r="P2822" s="65">
        <v>0</v>
      </c>
      <c r="Q2822" s="65">
        <v>0</v>
      </c>
      <c r="R2822" s="65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64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5">
        <v>50</v>
      </c>
      <c r="P2823" s="65">
        <v>0</v>
      </c>
      <c r="Q2823" s="65">
        <v>0</v>
      </c>
      <c r="R2823" s="65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64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5">
        <v>22329.32</v>
      </c>
      <c r="P2824" s="65">
        <v>0</v>
      </c>
      <c r="Q2824" s="65">
        <v>0</v>
      </c>
      <c r="R2824" s="65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64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5">
        <v>105200</v>
      </c>
      <c r="P2825" s="65">
        <v>0</v>
      </c>
      <c r="Q2825" s="65">
        <v>0</v>
      </c>
      <c r="R2825" s="65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64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5">
        <v>40976.239999999998</v>
      </c>
      <c r="P2826" s="65">
        <v>0</v>
      </c>
      <c r="Q2826" s="65">
        <v>0</v>
      </c>
      <c r="R2826" s="65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64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5">
        <v>10</v>
      </c>
      <c r="P2827" s="65">
        <v>0</v>
      </c>
      <c r="Q2827" s="65">
        <v>0</v>
      </c>
      <c r="R2827" s="65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64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5">
        <v>39.99</v>
      </c>
      <c r="P2828" s="65">
        <v>0</v>
      </c>
      <c r="Q2828" s="65">
        <v>0</v>
      </c>
      <c r="R2828" s="65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64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5">
        <v>100</v>
      </c>
      <c r="P2829" s="65">
        <v>0</v>
      </c>
      <c r="Q2829" s="65">
        <v>0</v>
      </c>
      <c r="R2829" s="65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64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5">
        <v>26.69</v>
      </c>
      <c r="P2830" s="65">
        <v>0</v>
      </c>
      <c r="Q2830" s="65">
        <v>0</v>
      </c>
      <c r="R2830" s="65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64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5">
        <v>13.6</v>
      </c>
      <c r="P2831" s="65">
        <v>0</v>
      </c>
      <c r="Q2831" s="65">
        <v>0</v>
      </c>
      <c r="R2831" s="65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64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5">
        <v>18.96</v>
      </c>
      <c r="P2832" s="65">
        <v>0</v>
      </c>
      <c r="Q2832" s="65">
        <v>0</v>
      </c>
      <c r="R2832" s="65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64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5">
        <v>30357.61</v>
      </c>
      <c r="P2833" s="65">
        <v>0</v>
      </c>
      <c r="Q2833" s="65">
        <v>0</v>
      </c>
      <c r="R2833" s="65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64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5">
        <v>26</v>
      </c>
      <c r="P2834" s="65">
        <v>0</v>
      </c>
      <c r="Q2834" s="65">
        <v>0</v>
      </c>
      <c r="R2834" s="65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64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5">
        <v>749</v>
      </c>
      <c r="P2835" s="65">
        <v>0</v>
      </c>
      <c r="Q2835" s="65">
        <v>0</v>
      </c>
      <c r="R2835" s="65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64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5">
        <v>5</v>
      </c>
      <c r="P2836" s="65">
        <v>0</v>
      </c>
      <c r="Q2836" s="65">
        <v>0</v>
      </c>
      <c r="R2836" s="65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64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5">
        <v>1.6</v>
      </c>
      <c r="P2837" s="65">
        <v>0</v>
      </c>
      <c r="Q2837" s="65">
        <v>0</v>
      </c>
      <c r="R2837" s="65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64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5">
        <v>13.5</v>
      </c>
      <c r="P2838" s="65">
        <v>0</v>
      </c>
      <c r="Q2838" s="65">
        <v>0</v>
      </c>
      <c r="R2838" s="65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64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5">
        <v>3.54</v>
      </c>
      <c r="P2839" s="65">
        <v>0</v>
      </c>
      <c r="Q2839" s="65">
        <v>0</v>
      </c>
      <c r="R2839" s="65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64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5">
        <v>9.39</v>
      </c>
      <c r="P2840" s="65">
        <v>0</v>
      </c>
      <c r="Q2840" s="65">
        <v>0</v>
      </c>
      <c r="R2840" s="65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64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5">
        <v>17</v>
      </c>
      <c r="P2841" s="65">
        <v>0</v>
      </c>
      <c r="Q2841" s="65">
        <v>0</v>
      </c>
      <c r="R2841" s="65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64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5">
        <v>3.13</v>
      </c>
      <c r="P2842" s="65">
        <v>0</v>
      </c>
      <c r="Q2842" s="65">
        <v>0</v>
      </c>
      <c r="R2842" s="65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64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5">
        <v>100</v>
      </c>
      <c r="P2843" s="65">
        <v>0</v>
      </c>
      <c r="Q2843" s="65">
        <v>0</v>
      </c>
      <c r="R2843" s="65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64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5">
        <v>50</v>
      </c>
      <c r="P2844" s="65">
        <v>0</v>
      </c>
      <c r="Q2844" s="65">
        <v>0</v>
      </c>
      <c r="R2844" s="65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64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5">
        <v>100</v>
      </c>
      <c r="P2845" s="65">
        <v>0</v>
      </c>
      <c r="Q2845" s="65">
        <v>0</v>
      </c>
      <c r="R2845" s="65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64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5">
        <v>180</v>
      </c>
      <c r="P2846" s="65">
        <v>0</v>
      </c>
      <c r="Q2846" s="65">
        <v>0</v>
      </c>
      <c r="R2846" s="65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64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5">
        <v>25</v>
      </c>
      <c r="P2847" s="65">
        <v>0</v>
      </c>
      <c r="Q2847" s="65">
        <v>0</v>
      </c>
      <c r="R2847" s="65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64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5">
        <v>1900</v>
      </c>
      <c r="P2848" s="65">
        <v>0</v>
      </c>
      <c r="Q2848" s="65">
        <v>0</v>
      </c>
      <c r="R2848" s="65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64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5">
        <v>10000</v>
      </c>
      <c r="P2849" s="65">
        <v>0</v>
      </c>
      <c r="Q2849" s="65">
        <v>0</v>
      </c>
      <c r="R2849" s="65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64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5">
        <v>42645.46</v>
      </c>
      <c r="P2850" s="65">
        <v>0</v>
      </c>
      <c r="Q2850" s="65">
        <v>0</v>
      </c>
      <c r="R2850" s="65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64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5">
        <v>42645.46</v>
      </c>
      <c r="P2851" s="65">
        <v>0</v>
      </c>
      <c r="Q2851" s="65">
        <v>0</v>
      </c>
      <c r="R2851" s="65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64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5">
        <v>42645.46</v>
      </c>
      <c r="P2852" s="65">
        <v>0</v>
      </c>
      <c r="Q2852" s="65">
        <v>0</v>
      </c>
      <c r="R2852" s="65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64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5">
        <v>1.77</v>
      </c>
      <c r="P2853" s="65">
        <v>0</v>
      </c>
      <c r="Q2853" s="65">
        <v>0</v>
      </c>
      <c r="R2853" s="65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64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5">
        <v>6.26</v>
      </c>
      <c r="P2854" s="65">
        <v>0</v>
      </c>
      <c r="Q2854" s="65">
        <v>0</v>
      </c>
      <c r="R2854" s="65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64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5">
        <v>3.4</v>
      </c>
      <c r="P2855" s="65">
        <v>0</v>
      </c>
      <c r="Q2855" s="65">
        <v>0</v>
      </c>
      <c r="R2855" s="65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64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5">
        <v>39.19</v>
      </c>
      <c r="P2856" s="65">
        <v>0</v>
      </c>
      <c r="Q2856" s="65">
        <v>0</v>
      </c>
      <c r="R2856" s="65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64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5">
        <v>226.59</v>
      </c>
      <c r="P2857" s="65">
        <v>0</v>
      </c>
      <c r="Q2857" s="65">
        <v>0</v>
      </c>
      <c r="R2857" s="65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64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5">
        <v>431.6</v>
      </c>
      <c r="P2858" s="65">
        <v>0</v>
      </c>
      <c r="Q2858" s="65">
        <v>0</v>
      </c>
      <c r="R2858" s="65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64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5">
        <v>287.75</v>
      </c>
      <c r="P2859" s="65">
        <v>0</v>
      </c>
      <c r="Q2859" s="65">
        <v>0</v>
      </c>
      <c r="R2859" s="65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64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5">
        <v>1311.11</v>
      </c>
      <c r="P2860" s="65">
        <v>0</v>
      </c>
      <c r="Q2860" s="65">
        <v>0</v>
      </c>
      <c r="R2860" s="65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64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5">
        <v>431.6</v>
      </c>
      <c r="P2861" s="65">
        <v>0</v>
      </c>
      <c r="Q2861" s="65">
        <v>0</v>
      </c>
      <c r="R2861" s="65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64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5">
        <v>4560</v>
      </c>
      <c r="P2862" s="65">
        <v>0</v>
      </c>
      <c r="Q2862" s="65">
        <v>0</v>
      </c>
      <c r="R2862" s="65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64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5">
        <v>20</v>
      </c>
      <c r="P2863" s="65">
        <v>0</v>
      </c>
      <c r="Q2863" s="65">
        <v>0</v>
      </c>
      <c r="R2863" s="65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64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5">
        <v>795</v>
      </c>
      <c r="P2864" s="65">
        <v>0</v>
      </c>
      <c r="Q2864" s="65">
        <v>0</v>
      </c>
      <c r="R2864" s="65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64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5">
        <v>1190</v>
      </c>
      <c r="P2865" s="65">
        <v>0</v>
      </c>
      <c r="Q2865" s="65">
        <v>0</v>
      </c>
      <c r="R2865" s="65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64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5">
        <v>500</v>
      </c>
      <c r="P2866" s="65">
        <v>0</v>
      </c>
      <c r="Q2866" s="65">
        <v>0</v>
      </c>
      <c r="R2866" s="65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64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5">
        <v>482.87</v>
      </c>
      <c r="P2867" s="65">
        <v>0</v>
      </c>
      <c r="Q2867" s="65">
        <v>0</v>
      </c>
      <c r="R2867" s="65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64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5">
        <v>200</v>
      </c>
      <c r="P2868" s="65">
        <v>0</v>
      </c>
      <c r="Q2868" s="65">
        <v>0</v>
      </c>
      <c r="R2868" s="65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64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5">
        <v>8.85</v>
      </c>
      <c r="P2869" s="65">
        <v>0</v>
      </c>
      <c r="Q2869" s="65">
        <v>0</v>
      </c>
      <c r="R2869" s="65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64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5">
        <v>36.19</v>
      </c>
      <c r="P2870" s="65">
        <v>0</v>
      </c>
      <c r="Q2870" s="65">
        <v>0</v>
      </c>
      <c r="R2870" s="65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64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5">
        <v>5.94</v>
      </c>
      <c r="P2871" s="65">
        <v>0</v>
      </c>
      <c r="Q2871" s="65">
        <v>0</v>
      </c>
      <c r="R2871" s="65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64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5">
        <v>0.08</v>
      </c>
      <c r="P2872" s="65">
        <v>0</v>
      </c>
      <c r="Q2872" s="65">
        <v>0</v>
      </c>
      <c r="R2872" s="65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64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5">
        <v>6.8</v>
      </c>
      <c r="P2873" s="65">
        <v>0</v>
      </c>
      <c r="Q2873" s="65">
        <v>0</v>
      </c>
      <c r="R2873" s="65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64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5">
        <v>2965</v>
      </c>
      <c r="P2874" s="65">
        <v>0</v>
      </c>
      <c r="Q2874" s="65">
        <v>0</v>
      </c>
      <c r="R2874" s="65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64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5">
        <v>190000</v>
      </c>
      <c r="P2875" s="65">
        <v>0</v>
      </c>
      <c r="Q2875" s="65">
        <v>0</v>
      </c>
      <c r="R2875" s="65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64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5">
        <v>49277.61</v>
      </c>
      <c r="P2876" s="65">
        <v>0</v>
      </c>
      <c r="Q2876" s="65">
        <v>0</v>
      </c>
      <c r="R2876" s="65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64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5">
        <v>32851.74</v>
      </c>
      <c r="P2877" s="65">
        <v>0</v>
      </c>
      <c r="Q2877" s="65">
        <v>0</v>
      </c>
      <c r="R2877" s="65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64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5">
        <v>32851.74</v>
      </c>
      <c r="P2878" s="65">
        <v>0</v>
      </c>
      <c r="Q2878" s="65">
        <v>0</v>
      </c>
      <c r="R2878" s="65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64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5">
        <v>32851.74</v>
      </c>
      <c r="P2879" s="65">
        <v>0</v>
      </c>
      <c r="Q2879" s="65">
        <v>0</v>
      </c>
      <c r="R2879" s="65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64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5">
        <v>49277.61</v>
      </c>
      <c r="P2880" s="65">
        <v>0</v>
      </c>
      <c r="Q2880" s="65">
        <v>0</v>
      </c>
      <c r="R2880" s="65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64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5">
        <v>146.59</v>
      </c>
      <c r="P2881" s="65">
        <v>0</v>
      </c>
      <c r="Q2881" s="65">
        <v>0</v>
      </c>
      <c r="R2881" s="65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64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5">
        <v>105.55</v>
      </c>
      <c r="P2882" s="65">
        <v>0</v>
      </c>
      <c r="Q2882" s="65">
        <v>0</v>
      </c>
      <c r="R2882" s="65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64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5">
        <v>100</v>
      </c>
      <c r="P2883" s="65">
        <v>0</v>
      </c>
      <c r="Q2883" s="65">
        <v>0</v>
      </c>
      <c r="R2883" s="65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64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5">
        <v>756</v>
      </c>
      <c r="P2884" s="65">
        <v>0</v>
      </c>
      <c r="Q2884" s="65">
        <v>0</v>
      </c>
      <c r="R2884" s="65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64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5">
        <v>756</v>
      </c>
      <c r="P2885" s="65">
        <v>0</v>
      </c>
      <c r="Q2885" s="65">
        <v>0</v>
      </c>
      <c r="R2885" s="65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64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5">
        <v>756</v>
      </c>
      <c r="P2886" s="65">
        <v>0</v>
      </c>
      <c r="Q2886" s="65">
        <v>0</v>
      </c>
      <c r="R2886" s="65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64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5">
        <v>5.94</v>
      </c>
      <c r="P2887" s="65">
        <v>0</v>
      </c>
      <c r="Q2887" s="65">
        <v>0</v>
      </c>
      <c r="R2887" s="65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64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5">
        <v>30.6</v>
      </c>
      <c r="P2888" s="65">
        <v>0</v>
      </c>
      <c r="Q2888" s="65">
        <v>0</v>
      </c>
      <c r="R2888" s="65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64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5">
        <v>5.31</v>
      </c>
      <c r="P2889" s="65">
        <v>0</v>
      </c>
      <c r="Q2889" s="65">
        <v>0</v>
      </c>
      <c r="R2889" s="65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64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5">
        <v>20</v>
      </c>
      <c r="P2890" s="65">
        <v>0</v>
      </c>
      <c r="Q2890" s="65">
        <v>0</v>
      </c>
      <c r="R2890" s="65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64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5">
        <v>20</v>
      </c>
      <c r="P2891" s="65">
        <v>0</v>
      </c>
      <c r="Q2891" s="65">
        <v>0</v>
      </c>
      <c r="R2891" s="65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64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5">
        <v>345</v>
      </c>
      <c r="P2892" s="65">
        <v>0</v>
      </c>
      <c r="Q2892" s="65">
        <v>0</v>
      </c>
      <c r="R2892" s="65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64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5">
        <v>3500</v>
      </c>
      <c r="P2893" s="65">
        <v>0</v>
      </c>
      <c r="Q2893" s="65">
        <v>0</v>
      </c>
      <c r="R2893" s="65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64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5">
        <v>25.5</v>
      </c>
      <c r="P2894" s="65">
        <v>0</v>
      </c>
      <c r="Q2894" s="65">
        <v>0</v>
      </c>
      <c r="R2894" s="65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64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5">
        <v>411.93</v>
      </c>
      <c r="P2895" s="65">
        <v>0</v>
      </c>
      <c r="Q2895" s="65">
        <v>0</v>
      </c>
      <c r="R2895" s="65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64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5">
        <v>34.94</v>
      </c>
      <c r="P2896" s="65">
        <v>0</v>
      </c>
      <c r="Q2896" s="65">
        <v>0</v>
      </c>
      <c r="R2896" s="65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64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5">
        <v>243</v>
      </c>
      <c r="P2897" s="65">
        <v>0</v>
      </c>
      <c r="Q2897" s="65">
        <v>0</v>
      </c>
      <c r="R2897" s="65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64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5">
        <v>21.91</v>
      </c>
      <c r="P2898" s="65">
        <v>0</v>
      </c>
      <c r="Q2898" s="65">
        <v>0</v>
      </c>
      <c r="R2898" s="65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64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5">
        <v>3200</v>
      </c>
      <c r="P2899" s="65">
        <v>0</v>
      </c>
      <c r="Q2899" s="65">
        <v>0</v>
      </c>
      <c r="R2899" s="65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64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5">
        <v>3200</v>
      </c>
      <c r="P2900" s="65">
        <v>0</v>
      </c>
      <c r="Q2900" s="65">
        <v>0</v>
      </c>
      <c r="R2900" s="65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64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5">
        <v>3200</v>
      </c>
      <c r="P2901" s="65">
        <v>0</v>
      </c>
      <c r="Q2901" s="65">
        <v>0</v>
      </c>
      <c r="R2901" s="65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64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5">
        <v>2300</v>
      </c>
      <c r="P2902" s="65">
        <v>0</v>
      </c>
      <c r="Q2902" s="65">
        <v>0</v>
      </c>
      <c r="R2902" s="65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64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5">
        <v>2000</v>
      </c>
      <c r="P2903" s="65">
        <v>0</v>
      </c>
      <c r="Q2903" s="65">
        <v>0</v>
      </c>
      <c r="R2903" s="65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64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5">
        <v>1700</v>
      </c>
      <c r="P2904" s="65">
        <v>0</v>
      </c>
      <c r="Q2904" s="65">
        <v>0</v>
      </c>
      <c r="R2904" s="65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64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5">
        <v>19.46</v>
      </c>
      <c r="P2905" s="65">
        <v>0</v>
      </c>
      <c r="Q2905" s="65">
        <v>0</v>
      </c>
      <c r="R2905" s="65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64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5">
        <v>72.989999999999995</v>
      </c>
      <c r="P2906" s="65">
        <v>0</v>
      </c>
      <c r="Q2906" s="65">
        <v>0</v>
      </c>
      <c r="R2906" s="65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64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5">
        <v>660</v>
      </c>
      <c r="P2907" s="65">
        <v>0</v>
      </c>
      <c r="Q2907" s="65">
        <v>0</v>
      </c>
      <c r="R2907" s="65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64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5">
        <v>300</v>
      </c>
      <c r="P2908" s="65">
        <v>0</v>
      </c>
      <c r="Q2908" s="65">
        <v>0</v>
      </c>
      <c r="R2908" s="65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64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5">
        <v>500</v>
      </c>
      <c r="P2909" s="65">
        <v>0</v>
      </c>
      <c r="Q2909" s="65">
        <v>0</v>
      </c>
      <c r="R2909" s="65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64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5">
        <v>100.65</v>
      </c>
      <c r="P2910" s="65">
        <v>0</v>
      </c>
      <c r="Q2910" s="65">
        <v>0</v>
      </c>
      <c r="R2910" s="65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64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5">
        <v>36.99</v>
      </c>
      <c r="P2911" s="65">
        <v>0</v>
      </c>
      <c r="Q2911" s="65">
        <v>0</v>
      </c>
      <c r="R2911" s="65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64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5">
        <v>100</v>
      </c>
      <c r="P2912" s="65">
        <v>0</v>
      </c>
      <c r="Q2912" s="65">
        <v>0</v>
      </c>
      <c r="R2912" s="65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64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5">
        <v>14.99</v>
      </c>
      <c r="P2913" s="65">
        <v>0</v>
      </c>
      <c r="Q2913" s="65">
        <v>0</v>
      </c>
      <c r="R2913" s="65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64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5">
        <v>694</v>
      </c>
      <c r="P2914" s="65">
        <v>0</v>
      </c>
      <c r="Q2914" s="65">
        <v>0</v>
      </c>
      <c r="R2914" s="65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64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5">
        <v>3.13</v>
      </c>
      <c r="P2915" s="65">
        <v>0</v>
      </c>
      <c r="Q2915" s="65">
        <v>0</v>
      </c>
      <c r="R2915" s="65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64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5">
        <v>13.6</v>
      </c>
      <c r="P2916" s="65">
        <v>0</v>
      </c>
      <c r="Q2916" s="65">
        <v>0</v>
      </c>
      <c r="R2916" s="65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64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5">
        <v>10880</v>
      </c>
      <c r="P2917" s="65">
        <v>0</v>
      </c>
      <c r="Q2917" s="65">
        <v>0</v>
      </c>
      <c r="R2917" s="65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64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5">
        <v>500</v>
      </c>
      <c r="P2918" s="65">
        <v>0</v>
      </c>
      <c r="Q2918" s="65">
        <v>0</v>
      </c>
      <c r="R2918" s="65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64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5">
        <v>22.98</v>
      </c>
      <c r="P2919" s="65">
        <v>0</v>
      </c>
      <c r="Q2919" s="65">
        <v>0</v>
      </c>
      <c r="R2919" s="65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64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5">
        <v>29.99</v>
      </c>
      <c r="P2920" s="65">
        <v>0</v>
      </c>
      <c r="Q2920" s="65">
        <v>0</v>
      </c>
      <c r="R2920" s="65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64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5">
        <v>180</v>
      </c>
      <c r="P2921" s="65">
        <v>0</v>
      </c>
      <c r="Q2921" s="65">
        <v>0</v>
      </c>
      <c r="R2921" s="65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64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5">
        <v>3.2</v>
      </c>
      <c r="P2922" s="65">
        <v>0</v>
      </c>
      <c r="Q2922" s="65">
        <v>0</v>
      </c>
      <c r="R2922" s="65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64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5">
        <v>3.54</v>
      </c>
      <c r="P2923" s="65">
        <v>0</v>
      </c>
      <c r="Q2923" s="65">
        <v>0</v>
      </c>
      <c r="R2923" s="65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64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5">
        <v>0.16</v>
      </c>
      <c r="P2924" s="65">
        <v>0</v>
      </c>
      <c r="Q2924" s="65">
        <v>0</v>
      </c>
      <c r="R2924" s="65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64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5">
        <v>3.4</v>
      </c>
      <c r="P2925" s="65">
        <v>0</v>
      </c>
      <c r="Q2925" s="65">
        <v>0</v>
      </c>
      <c r="R2925" s="65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64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5">
        <v>35</v>
      </c>
      <c r="P2926" s="65">
        <v>0</v>
      </c>
      <c r="Q2926" s="65">
        <v>0</v>
      </c>
      <c r="R2926" s="65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64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5">
        <v>596.59</v>
      </c>
      <c r="P2927" s="65">
        <v>0</v>
      </c>
      <c r="Q2927" s="65">
        <v>0</v>
      </c>
      <c r="R2927" s="65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64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5">
        <v>130</v>
      </c>
      <c r="P2928" s="65">
        <v>0</v>
      </c>
      <c r="Q2928" s="65">
        <v>0</v>
      </c>
      <c r="R2928" s="65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64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5">
        <v>17</v>
      </c>
      <c r="P2929" s="65">
        <v>0</v>
      </c>
      <c r="Q2929" s="65">
        <v>0</v>
      </c>
      <c r="R2929" s="65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64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5">
        <v>20</v>
      </c>
      <c r="P2930" s="65">
        <v>0</v>
      </c>
      <c r="Q2930" s="65">
        <v>0</v>
      </c>
      <c r="R2930" s="65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64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5">
        <v>1.77</v>
      </c>
      <c r="P2931" s="65">
        <v>0</v>
      </c>
      <c r="Q2931" s="65">
        <v>0</v>
      </c>
      <c r="R2931" s="65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64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5">
        <v>11.88</v>
      </c>
      <c r="P2932" s="65">
        <v>0</v>
      </c>
      <c r="Q2932" s="65">
        <v>0</v>
      </c>
      <c r="R2932" s="65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64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5">
        <v>3.13</v>
      </c>
      <c r="P2933" s="65">
        <v>0</v>
      </c>
      <c r="Q2933" s="65">
        <v>0</v>
      </c>
      <c r="R2933" s="65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64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5">
        <v>1109.81</v>
      </c>
      <c r="P2934" s="65">
        <v>0</v>
      </c>
      <c r="Q2934" s="65">
        <v>0</v>
      </c>
      <c r="R2934" s="65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64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5">
        <v>1.6</v>
      </c>
      <c r="P2935" s="65">
        <v>0</v>
      </c>
      <c r="Q2935" s="65">
        <v>0</v>
      </c>
      <c r="R2935" s="65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64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5">
        <v>250</v>
      </c>
      <c r="P2936" s="65">
        <v>0</v>
      </c>
      <c r="Q2936" s="65">
        <v>0</v>
      </c>
      <c r="R2936" s="65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64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5">
        <v>750</v>
      </c>
      <c r="P2937" s="65">
        <v>0</v>
      </c>
      <c r="Q2937" s="65">
        <v>0</v>
      </c>
      <c r="R2937" s="65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64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5">
        <v>52.95</v>
      </c>
      <c r="P2938" s="65">
        <v>0</v>
      </c>
      <c r="Q2938" s="65">
        <v>0</v>
      </c>
      <c r="R2938" s="65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64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5">
        <v>0.04</v>
      </c>
      <c r="P2939" s="65">
        <v>0</v>
      </c>
      <c r="Q2939" s="65">
        <v>0</v>
      </c>
      <c r="R2939" s="65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64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5">
        <v>20.399999999999999</v>
      </c>
      <c r="P2940" s="65">
        <v>0</v>
      </c>
      <c r="Q2940" s="65">
        <v>0</v>
      </c>
      <c r="R2940" s="65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64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5">
        <v>750</v>
      </c>
      <c r="P2941" s="65">
        <v>0</v>
      </c>
      <c r="Q2941" s="65">
        <v>0</v>
      </c>
      <c r="R2941" s="65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64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5">
        <v>99.9</v>
      </c>
      <c r="P2942" s="65">
        <v>0</v>
      </c>
      <c r="Q2942" s="65">
        <v>0</v>
      </c>
      <c r="R2942" s="65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64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5">
        <v>686.99</v>
      </c>
      <c r="P2943" s="65">
        <v>0</v>
      </c>
      <c r="Q2943" s="65">
        <v>0</v>
      </c>
      <c r="R2943" s="65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64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5">
        <v>250</v>
      </c>
      <c r="P2944" s="65">
        <v>0</v>
      </c>
      <c r="Q2944" s="65">
        <v>0</v>
      </c>
      <c r="R2944" s="65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64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5">
        <v>100</v>
      </c>
      <c r="P2945" s="65">
        <v>0</v>
      </c>
      <c r="Q2945" s="65">
        <v>0</v>
      </c>
      <c r="R2945" s="65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64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5">
        <v>971.25</v>
      </c>
      <c r="P2946" s="65">
        <v>0</v>
      </c>
      <c r="Q2946" s="65">
        <v>0</v>
      </c>
      <c r="R2946" s="65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64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5">
        <v>587.44000000000005</v>
      </c>
      <c r="P2947" s="65">
        <v>0</v>
      </c>
      <c r="Q2947" s="65">
        <v>0</v>
      </c>
      <c r="R2947" s="65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64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5">
        <v>415.87</v>
      </c>
      <c r="P2948" s="65">
        <v>0</v>
      </c>
      <c r="Q2948" s="65">
        <v>0</v>
      </c>
      <c r="R2948" s="65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64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5">
        <v>534.04999999999995</v>
      </c>
      <c r="P2949" s="65">
        <v>0</v>
      </c>
      <c r="Q2949" s="65">
        <v>0</v>
      </c>
      <c r="R2949" s="65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64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5">
        <v>1120</v>
      </c>
      <c r="P2950" s="65">
        <v>0</v>
      </c>
      <c r="Q2950" s="65">
        <v>0</v>
      </c>
      <c r="R2950" s="65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64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5">
        <v>51.48</v>
      </c>
      <c r="P2951" s="65">
        <v>0</v>
      </c>
      <c r="Q2951" s="65">
        <v>0</v>
      </c>
      <c r="R2951" s="65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64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5">
        <v>100</v>
      </c>
      <c r="P2952" s="65">
        <v>0</v>
      </c>
      <c r="Q2952" s="65">
        <v>0</v>
      </c>
      <c r="R2952" s="65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64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5">
        <v>4496.8599999999997</v>
      </c>
      <c r="P2953" s="65">
        <v>0</v>
      </c>
      <c r="Q2953" s="65">
        <v>0</v>
      </c>
      <c r="R2953" s="65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64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5">
        <v>205</v>
      </c>
      <c r="P2954" s="65">
        <v>0</v>
      </c>
      <c r="Q2954" s="65">
        <v>0</v>
      </c>
      <c r="R2954" s="65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64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5">
        <v>169.5</v>
      </c>
      <c r="P2955" s="65">
        <v>0</v>
      </c>
      <c r="Q2955" s="65">
        <v>0</v>
      </c>
      <c r="R2955" s="65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64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5">
        <v>104.7</v>
      </c>
      <c r="P2956" s="65">
        <v>0</v>
      </c>
      <c r="Q2956" s="65">
        <v>0</v>
      </c>
      <c r="R2956" s="65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64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5">
        <v>614.70000000000005</v>
      </c>
      <c r="P2957" s="65">
        <v>0</v>
      </c>
      <c r="Q2957" s="65">
        <v>0</v>
      </c>
      <c r="R2957" s="65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64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5">
        <v>1915.38</v>
      </c>
      <c r="P2958" s="65">
        <v>0</v>
      </c>
      <c r="Q2958" s="65">
        <v>0</v>
      </c>
      <c r="R2958" s="65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64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5">
        <v>5.31</v>
      </c>
      <c r="P2959" s="65">
        <v>0</v>
      </c>
      <c r="Q2959" s="65">
        <v>0</v>
      </c>
      <c r="R2959" s="65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64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5">
        <v>2.59</v>
      </c>
      <c r="P2960" s="65">
        <v>0</v>
      </c>
      <c r="Q2960" s="65">
        <v>0</v>
      </c>
      <c r="R2960" s="65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64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5">
        <v>5.94</v>
      </c>
      <c r="P2961" s="65">
        <v>0</v>
      </c>
      <c r="Q2961" s="65">
        <v>0</v>
      </c>
      <c r="R2961" s="65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64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5">
        <v>3.13</v>
      </c>
      <c r="P2962" s="65">
        <v>0</v>
      </c>
      <c r="Q2962" s="65">
        <v>0</v>
      </c>
      <c r="R2962" s="65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64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5">
        <v>3.13</v>
      </c>
      <c r="P2963" s="65">
        <v>0</v>
      </c>
      <c r="Q2963" s="65">
        <v>0</v>
      </c>
      <c r="R2963" s="65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64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5">
        <v>10.199999999999999</v>
      </c>
      <c r="P2964" s="65">
        <v>0</v>
      </c>
      <c r="Q2964" s="65">
        <v>0</v>
      </c>
      <c r="R2964" s="65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64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5">
        <v>17.95</v>
      </c>
      <c r="P2965" s="65">
        <v>0</v>
      </c>
      <c r="Q2965" s="65">
        <v>0</v>
      </c>
      <c r="R2965" s="65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64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5">
        <v>250</v>
      </c>
      <c r="P2966" s="65">
        <v>0</v>
      </c>
      <c r="Q2966" s="65">
        <v>0</v>
      </c>
      <c r="R2966" s="65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64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5">
        <v>220</v>
      </c>
      <c r="P2967" s="65">
        <v>0</v>
      </c>
      <c r="Q2967" s="65">
        <v>0</v>
      </c>
      <c r="R2967" s="65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64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5">
        <v>6.99</v>
      </c>
      <c r="P2968" s="65">
        <v>0</v>
      </c>
      <c r="Q2968" s="65">
        <v>0</v>
      </c>
      <c r="R2968" s="65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64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5">
        <v>150</v>
      </c>
      <c r="P2969" s="65">
        <v>0</v>
      </c>
      <c r="Q2969" s="65">
        <v>0</v>
      </c>
      <c r="R2969" s="65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64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5">
        <v>65</v>
      </c>
      <c r="P2970" s="65">
        <v>0</v>
      </c>
      <c r="Q2970" s="65">
        <v>0</v>
      </c>
      <c r="R2970" s="65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64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5">
        <v>206</v>
      </c>
      <c r="P2971" s="65">
        <v>0</v>
      </c>
      <c r="Q2971" s="65">
        <v>0</v>
      </c>
      <c r="R2971" s="65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64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5">
        <v>146.93</v>
      </c>
      <c r="P2972" s="65">
        <v>0</v>
      </c>
      <c r="Q2972" s="65">
        <v>0</v>
      </c>
      <c r="R2972" s="65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64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5">
        <v>1800</v>
      </c>
      <c r="P2973" s="65">
        <v>0</v>
      </c>
      <c r="Q2973" s="65">
        <v>0</v>
      </c>
      <c r="R2973" s="65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64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5">
        <v>100000</v>
      </c>
      <c r="P2974" s="65">
        <v>0</v>
      </c>
      <c r="Q2974" s="65">
        <v>0</v>
      </c>
      <c r="R2974" s="65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64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5">
        <v>1.6</v>
      </c>
      <c r="P2975" s="65">
        <v>0</v>
      </c>
      <c r="Q2975" s="65">
        <v>0</v>
      </c>
      <c r="R2975" s="65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64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5">
        <v>20.399999999999999</v>
      </c>
      <c r="P2976" s="65">
        <v>0</v>
      </c>
      <c r="Q2976" s="65">
        <v>0</v>
      </c>
      <c r="R2976" s="65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64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5">
        <v>8800</v>
      </c>
      <c r="P2977" s="65">
        <v>0</v>
      </c>
      <c r="Q2977" s="65">
        <v>0</v>
      </c>
      <c r="R2977" s="65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64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5">
        <v>270</v>
      </c>
      <c r="P2978" s="65">
        <v>0</v>
      </c>
      <c r="Q2978" s="65">
        <v>0</v>
      </c>
      <c r="R2978" s="65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64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5">
        <v>59.98</v>
      </c>
      <c r="P2979" s="65">
        <v>0</v>
      </c>
      <c r="Q2979" s="65">
        <v>0</v>
      </c>
      <c r="R2979" s="65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64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5">
        <v>8224.2000000000007</v>
      </c>
      <c r="P2980" s="65">
        <v>0</v>
      </c>
      <c r="Q2980" s="65">
        <v>0</v>
      </c>
      <c r="R2980" s="65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64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5">
        <v>50000</v>
      </c>
      <c r="P2981" s="65">
        <v>0</v>
      </c>
      <c r="Q2981" s="65">
        <v>0</v>
      </c>
      <c r="R2981" s="65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64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5">
        <v>10000</v>
      </c>
      <c r="P2982" s="65">
        <v>0</v>
      </c>
      <c r="Q2982" s="65">
        <v>0</v>
      </c>
      <c r="R2982" s="65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64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5">
        <v>153000</v>
      </c>
      <c r="P2983" s="65">
        <v>0</v>
      </c>
      <c r="Q2983" s="65">
        <v>0</v>
      </c>
      <c r="R2983" s="65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64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5">
        <v>320</v>
      </c>
      <c r="P2984" s="65">
        <v>0</v>
      </c>
      <c r="Q2984" s="65">
        <v>0</v>
      </c>
      <c r="R2984" s="65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64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5">
        <v>5.31</v>
      </c>
      <c r="P2985" s="65">
        <v>0</v>
      </c>
      <c r="Q2985" s="65">
        <v>0</v>
      </c>
      <c r="R2985" s="65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64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5">
        <v>650</v>
      </c>
      <c r="P2986" s="65">
        <v>0</v>
      </c>
      <c r="Q2986" s="65">
        <v>0</v>
      </c>
      <c r="R2986" s="65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64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5">
        <v>100</v>
      </c>
      <c r="P2987" s="65">
        <v>0</v>
      </c>
      <c r="Q2987" s="65">
        <v>0</v>
      </c>
      <c r="R2987" s="65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64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5">
        <v>3.13</v>
      </c>
      <c r="P2988" s="65">
        <v>0</v>
      </c>
      <c r="Q2988" s="65">
        <v>0</v>
      </c>
      <c r="R2988" s="65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64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5">
        <v>290.95</v>
      </c>
      <c r="P2989" s="65">
        <v>0</v>
      </c>
      <c r="Q2989" s="65">
        <v>0</v>
      </c>
      <c r="R2989" s="65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64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5">
        <v>184.95</v>
      </c>
      <c r="P2990" s="65">
        <v>0</v>
      </c>
      <c r="Q2990" s="65">
        <v>0</v>
      </c>
      <c r="R2990" s="65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64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5">
        <v>408.4</v>
      </c>
      <c r="P2991" s="65">
        <v>0</v>
      </c>
      <c r="Q2991" s="65">
        <v>0</v>
      </c>
      <c r="R2991" s="65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64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5">
        <v>250</v>
      </c>
      <c r="P2992" s="65">
        <v>0</v>
      </c>
      <c r="Q2992" s="65">
        <v>0</v>
      </c>
      <c r="R2992" s="65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64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5">
        <v>7.08</v>
      </c>
      <c r="P2993" s="65">
        <v>0</v>
      </c>
      <c r="Q2993" s="65">
        <v>0</v>
      </c>
      <c r="R2993" s="65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64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5">
        <v>23.8</v>
      </c>
      <c r="P2994" s="65">
        <v>0</v>
      </c>
      <c r="Q2994" s="65">
        <v>0</v>
      </c>
      <c r="R2994" s="65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64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5">
        <v>109.38</v>
      </c>
      <c r="P2995" s="65">
        <v>0</v>
      </c>
      <c r="Q2995" s="65">
        <v>0</v>
      </c>
      <c r="R2995" s="65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64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5">
        <v>326.22000000000003</v>
      </c>
      <c r="P2996" s="65">
        <v>0</v>
      </c>
      <c r="Q2996" s="65">
        <v>0</v>
      </c>
      <c r="R2996" s="65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64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5">
        <v>1350</v>
      </c>
      <c r="P2997" s="65">
        <v>0</v>
      </c>
      <c r="Q2997" s="65">
        <v>0</v>
      </c>
      <c r="R2997" s="65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64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5">
        <v>118.6</v>
      </c>
      <c r="P2998" s="65">
        <v>0</v>
      </c>
      <c r="Q2998" s="65">
        <v>0</v>
      </c>
      <c r="R2998" s="65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64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5">
        <v>19.989999999999998</v>
      </c>
      <c r="P2999" s="65">
        <v>0</v>
      </c>
      <c r="Q2999" s="65">
        <v>0</v>
      </c>
      <c r="R2999" s="65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64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5">
        <v>104434.21</v>
      </c>
      <c r="P3000" s="65">
        <v>0</v>
      </c>
      <c r="Q3000" s="65">
        <v>0</v>
      </c>
      <c r="R3000" s="65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64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5">
        <v>150</v>
      </c>
      <c r="P3001" s="65">
        <v>0</v>
      </c>
      <c r="Q3001" s="65">
        <v>0</v>
      </c>
      <c r="R3001" s="65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64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5">
        <v>475.98</v>
      </c>
      <c r="P3002" s="65">
        <v>0</v>
      </c>
      <c r="Q3002" s="65">
        <v>0</v>
      </c>
      <c r="R3002" s="65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64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5">
        <v>1.77</v>
      </c>
      <c r="P3003" s="65">
        <v>0</v>
      </c>
      <c r="Q3003" s="65">
        <v>0</v>
      </c>
      <c r="R3003" s="65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64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5">
        <v>35</v>
      </c>
      <c r="P3004" s="65">
        <v>0</v>
      </c>
      <c r="Q3004" s="65">
        <v>0</v>
      </c>
      <c r="R3004" s="65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64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5">
        <v>175.68</v>
      </c>
      <c r="P3005" s="65">
        <v>0</v>
      </c>
      <c r="Q3005" s="65">
        <v>0</v>
      </c>
      <c r="R3005" s="65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64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5">
        <v>32.99</v>
      </c>
      <c r="P3006" s="65">
        <v>0</v>
      </c>
      <c r="Q3006" s="65">
        <v>0</v>
      </c>
      <c r="R3006" s="65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64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5">
        <v>6.8</v>
      </c>
      <c r="P3007" s="65">
        <v>0</v>
      </c>
      <c r="Q3007" s="65">
        <v>0</v>
      </c>
      <c r="R3007" s="65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64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5">
        <v>1044.55</v>
      </c>
      <c r="P3008" s="65">
        <v>0</v>
      </c>
      <c r="Q3008" s="65">
        <v>0</v>
      </c>
      <c r="R3008" s="65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64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5">
        <v>380</v>
      </c>
      <c r="P3009" s="65">
        <v>0</v>
      </c>
      <c r="Q3009" s="65">
        <v>0</v>
      </c>
      <c r="R3009" s="65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64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5">
        <v>22</v>
      </c>
      <c r="P3010" s="65">
        <v>0</v>
      </c>
      <c r="Q3010" s="65">
        <v>0</v>
      </c>
      <c r="R3010" s="65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64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5">
        <v>20</v>
      </c>
      <c r="P3011" s="65">
        <v>0</v>
      </c>
      <c r="Q3011" s="65">
        <v>0</v>
      </c>
      <c r="R3011" s="65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64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5">
        <v>230</v>
      </c>
      <c r="P3012" s="65">
        <v>0</v>
      </c>
      <c r="Q3012" s="65">
        <v>0</v>
      </c>
      <c r="R3012" s="65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64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5">
        <v>3.54</v>
      </c>
      <c r="P3013" s="65">
        <v>0</v>
      </c>
      <c r="Q3013" s="65">
        <v>0</v>
      </c>
      <c r="R3013" s="65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64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5">
        <v>150</v>
      </c>
      <c r="P3014" s="65">
        <v>0</v>
      </c>
      <c r="Q3014" s="65">
        <v>0</v>
      </c>
      <c r="R3014" s="65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64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5">
        <v>282.39999999999998</v>
      </c>
      <c r="P3015" s="65">
        <v>0</v>
      </c>
      <c r="Q3015" s="65">
        <v>0</v>
      </c>
      <c r="R3015" s="65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64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5">
        <v>91</v>
      </c>
      <c r="P3016" s="65">
        <v>0</v>
      </c>
      <c r="Q3016" s="65">
        <v>0</v>
      </c>
      <c r="R3016" s="65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64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5">
        <v>2.59</v>
      </c>
      <c r="P3017" s="65">
        <v>0</v>
      </c>
      <c r="Q3017" s="65">
        <v>0</v>
      </c>
      <c r="R3017" s="65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64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5">
        <v>5.94</v>
      </c>
      <c r="P3018" s="65">
        <v>0</v>
      </c>
      <c r="Q3018" s="65">
        <v>0</v>
      </c>
      <c r="R3018" s="65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64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5">
        <v>12.52</v>
      </c>
      <c r="P3019" s="65">
        <v>0</v>
      </c>
      <c r="Q3019" s="65">
        <v>0</v>
      </c>
      <c r="R3019" s="65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64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5">
        <v>3.13</v>
      </c>
      <c r="P3020" s="65">
        <v>0</v>
      </c>
      <c r="Q3020" s="65">
        <v>0</v>
      </c>
      <c r="R3020" s="65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64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5">
        <v>0.16</v>
      </c>
      <c r="P3021" s="65">
        <v>0</v>
      </c>
      <c r="Q3021" s="65">
        <v>0</v>
      </c>
      <c r="R3021" s="65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64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5">
        <v>57.8</v>
      </c>
      <c r="P3022" s="65">
        <v>0</v>
      </c>
      <c r="Q3022" s="65">
        <v>0</v>
      </c>
      <c r="R3022" s="65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64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5">
        <v>9.39</v>
      </c>
      <c r="P3023" s="65">
        <v>0</v>
      </c>
      <c r="Q3023" s="65">
        <v>0</v>
      </c>
      <c r="R3023" s="65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64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5">
        <v>56948.89</v>
      </c>
      <c r="P3024" s="65">
        <v>0</v>
      </c>
      <c r="Q3024" s="65">
        <v>0</v>
      </c>
      <c r="R3024" s="65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64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5">
        <v>1000</v>
      </c>
      <c r="P3025" s="65">
        <v>0</v>
      </c>
      <c r="Q3025" s="65">
        <v>0</v>
      </c>
      <c r="R3025" s="65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64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5">
        <v>380</v>
      </c>
      <c r="P3026" s="65">
        <v>0</v>
      </c>
      <c r="Q3026" s="65">
        <v>0</v>
      </c>
      <c r="R3026" s="65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64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5">
        <v>39</v>
      </c>
      <c r="P3027" s="65">
        <v>0</v>
      </c>
      <c r="Q3027" s="65">
        <v>0</v>
      </c>
      <c r="R3027" s="65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64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5">
        <v>290.95</v>
      </c>
      <c r="P3028" s="65">
        <v>0</v>
      </c>
      <c r="Q3028" s="65">
        <v>0</v>
      </c>
      <c r="R3028" s="65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64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5">
        <v>28895.82</v>
      </c>
      <c r="P3029" s="65">
        <v>0</v>
      </c>
      <c r="Q3029" s="65">
        <v>0</v>
      </c>
      <c r="R3029" s="65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64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5">
        <v>304.60000000000002</v>
      </c>
      <c r="P3030" s="65">
        <v>0</v>
      </c>
      <c r="Q3030" s="65">
        <v>0</v>
      </c>
      <c r="R3030" s="65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64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5">
        <v>294.02999999999997</v>
      </c>
      <c r="P3031" s="65">
        <v>0</v>
      </c>
      <c r="Q3031" s="65">
        <v>0</v>
      </c>
      <c r="R3031" s="65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64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5">
        <v>220</v>
      </c>
      <c r="P3032" s="65">
        <v>0</v>
      </c>
      <c r="Q3032" s="65">
        <v>0</v>
      </c>
      <c r="R3032" s="65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64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5">
        <v>52</v>
      </c>
      <c r="P3033" s="65">
        <v>0</v>
      </c>
      <c r="Q3033" s="65">
        <v>0</v>
      </c>
      <c r="R3033" s="65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64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5">
        <v>319.25</v>
      </c>
      <c r="P3034" s="65">
        <v>0</v>
      </c>
      <c r="Q3034" s="65">
        <v>0</v>
      </c>
      <c r="R3034" s="65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64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5">
        <v>26</v>
      </c>
      <c r="P3035" s="65">
        <v>0</v>
      </c>
      <c r="Q3035" s="65">
        <v>0</v>
      </c>
      <c r="R3035" s="65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64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5">
        <v>35.99</v>
      </c>
      <c r="P3036" s="65">
        <v>0</v>
      </c>
      <c r="Q3036" s="65">
        <v>0</v>
      </c>
      <c r="R3036" s="65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64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5">
        <v>100</v>
      </c>
      <c r="P3037" s="65">
        <v>0</v>
      </c>
      <c r="Q3037" s="65">
        <v>0</v>
      </c>
      <c r="R3037" s="65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64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5">
        <v>112.1</v>
      </c>
      <c r="P3038" s="65">
        <v>0</v>
      </c>
      <c r="Q3038" s="65">
        <v>0</v>
      </c>
      <c r="R3038" s="65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64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5">
        <v>80</v>
      </c>
      <c r="P3039" s="65">
        <v>0</v>
      </c>
      <c r="Q3039" s="65">
        <v>0</v>
      </c>
      <c r="R3039" s="65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64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5">
        <v>5.31</v>
      </c>
      <c r="P3040" s="65">
        <v>0</v>
      </c>
      <c r="Q3040" s="65">
        <v>0</v>
      </c>
      <c r="R3040" s="65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64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5">
        <v>10.199999999999999</v>
      </c>
      <c r="P3041" s="65">
        <v>0</v>
      </c>
      <c r="Q3041" s="65">
        <v>0</v>
      </c>
      <c r="R3041" s="65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64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5">
        <v>220</v>
      </c>
      <c r="P3042" s="65">
        <v>0</v>
      </c>
      <c r="Q3042" s="65">
        <v>0</v>
      </c>
      <c r="R3042" s="65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64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5">
        <v>26.42</v>
      </c>
      <c r="P3043" s="65">
        <v>0</v>
      </c>
      <c r="Q3043" s="65">
        <v>0</v>
      </c>
      <c r="R3043" s="65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64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5">
        <v>339.46</v>
      </c>
      <c r="P3044" s="65">
        <v>0</v>
      </c>
      <c r="Q3044" s="65">
        <v>0</v>
      </c>
      <c r="R3044" s="65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64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5">
        <v>36</v>
      </c>
      <c r="P3045" s="65">
        <v>0</v>
      </c>
      <c r="Q3045" s="65">
        <v>0</v>
      </c>
      <c r="R3045" s="65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64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5">
        <v>382.45</v>
      </c>
      <c r="P3046" s="65">
        <v>0</v>
      </c>
      <c r="Q3046" s="65">
        <v>0</v>
      </c>
      <c r="R3046" s="65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64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5">
        <v>47.14</v>
      </c>
      <c r="P3047" s="65">
        <v>0</v>
      </c>
      <c r="Q3047" s="65">
        <v>0</v>
      </c>
      <c r="R3047" s="65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64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5">
        <v>245.47</v>
      </c>
      <c r="P3048" s="65">
        <v>0</v>
      </c>
      <c r="Q3048" s="65">
        <v>0</v>
      </c>
      <c r="R3048" s="65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64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5">
        <v>13.1</v>
      </c>
      <c r="P3049" s="65">
        <v>0</v>
      </c>
      <c r="Q3049" s="65">
        <v>0</v>
      </c>
      <c r="R3049" s="65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64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5">
        <v>300</v>
      </c>
      <c r="P3050" s="65">
        <v>0</v>
      </c>
      <c r="Q3050" s="65">
        <v>0</v>
      </c>
      <c r="R3050" s="65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64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5">
        <v>628.94000000000005</v>
      </c>
      <c r="P3051" s="65">
        <v>0</v>
      </c>
      <c r="Q3051" s="65">
        <v>0</v>
      </c>
      <c r="R3051" s="65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64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5">
        <v>2.59</v>
      </c>
      <c r="P3052" s="65">
        <v>0</v>
      </c>
      <c r="Q3052" s="65">
        <v>0</v>
      </c>
      <c r="R3052" s="65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64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5">
        <v>3.13</v>
      </c>
      <c r="P3053" s="65">
        <v>0</v>
      </c>
      <c r="Q3053" s="65">
        <v>0</v>
      </c>
      <c r="R3053" s="65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64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5">
        <v>17</v>
      </c>
      <c r="P3054" s="65">
        <v>0</v>
      </c>
      <c r="Q3054" s="65">
        <v>0</v>
      </c>
      <c r="R3054" s="65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64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5">
        <v>100</v>
      </c>
      <c r="P3055" s="65">
        <v>0</v>
      </c>
      <c r="Q3055" s="65">
        <v>0</v>
      </c>
      <c r="R3055" s="65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64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5">
        <v>9627.27</v>
      </c>
      <c r="P3056" s="65">
        <v>0</v>
      </c>
      <c r="Q3056" s="65">
        <v>0</v>
      </c>
      <c r="R3056" s="65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64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5">
        <v>3242</v>
      </c>
      <c r="P3057" s="65">
        <v>0</v>
      </c>
      <c r="Q3057" s="65">
        <v>0</v>
      </c>
      <c r="R3057" s="65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64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5">
        <v>58</v>
      </c>
      <c r="P3058" s="65">
        <v>0</v>
      </c>
      <c r="Q3058" s="65">
        <v>0</v>
      </c>
      <c r="R3058" s="65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64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5">
        <v>34.99</v>
      </c>
      <c r="P3059" s="65">
        <v>0</v>
      </c>
      <c r="Q3059" s="65">
        <v>0</v>
      </c>
      <c r="R3059" s="65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64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5">
        <v>30</v>
      </c>
      <c r="P3060" s="65">
        <v>0</v>
      </c>
      <c r="Q3060" s="65">
        <v>0</v>
      </c>
      <c r="R3060" s="65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64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5">
        <v>51.48</v>
      </c>
      <c r="P3061" s="65">
        <v>0</v>
      </c>
      <c r="Q3061" s="65">
        <v>0</v>
      </c>
      <c r="R3061" s="65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64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5">
        <v>3500</v>
      </c>
      <c r="P3062" s="65">
        <v>0</v>
      </c>
      <c r="Q3062" s="65">
        <v>0</v>
      </c>
      <c r="R3062" s="65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64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5">
        <v>1.6</v>
      </c>
      <c r="P3063" s="65">
        <v>0</v>
      </c>
      <c r="Q3063" s="65">
        <v>0</v>
      </c>
      <c r="R3063" s="65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64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5">
        <v>17.82</v>
      </c>
      <c r="P3064" s="65">
        <v>0</v>
      </c>
      <c r="Q3064" s="65">
        <v>0</v>
      </c>
      <c r="R3064" s="65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64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5">
        <v>3.13</v>
      </c>
      <c r="P3065" s="65">
        <v>0</v>
      </c>
      <c r="Q3065" s="65">
        <v>0</v>
      </c>
      <c r="R3065" s="65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64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5">
        <v>27.2</v>
      </c>
      <c r="P3066" s="65">
        <v>0</v>
      </c>
      <c r="Q3066" s="65">
        <v>0</v>
      </c>
      <c r="R3066" s="65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64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5">
        <v>7.08</v>
      </c>
      <c r="P3067" s="65">
        <v>0</v>
      </c>
      <c r="Q3067" s="65">
        <v>0</v>
      </c>
      <c r="R3067" s="65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64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5">
        <v>22</v>
      </c>
      <c r="P3068" s="65">
        <v>0</v>
      </c>
      <c r="Q3068" s="65">
        <v>0</v>
      </c>
      <c r="R3068" s="65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64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5">
        <v>253.35</v>
      </c>
      <c r="P3069" s="65">
        <v>0</v>
      </c>
      <c r="Q3069" s="65">
        <v>0</v>
      </c>
      <c r="R3069" s="65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64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5">
        <v>900</v>
      </c>
      <c r="P3070" s="65">
        <v>0</v>
      </c>
      <c r="Q3070" s="65">
        <v>0</v>
      </c>
      <c r="R3070" s="65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64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5">
        <v>266.02</v>
      </c>
      <c r="P3071" s="65">
        <v>0</v>
      </c>
      <c r="Q3071" s="65">
        <v>0</v>
      </c>
      <c r="R3071" s="65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64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5">
        <v>111.57</v>
      </c>
      <c r="P3072" s="65">
        <v>0</v>
      </c>
      <c r="Q3072" s="65">
        <v>0</v>
      </c>
      <c r="R3072" s="65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64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5">
        <v>106.26</v>
      </c>
      <c r="P3073" s="65">
        <v>0</v>
      </c>
      <c r="Q3073" s="65">
        <v>0</v>
      </c>
      <c r="R3073" s="65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64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5">
        <v>611.54</v>
      </c>
      <c r="P3074" s="65">
        <v>0</v>
      </c>
      <c r="Q3074" s="65">
        <v>0</v>
      </c>
      <c r="R3074" s="65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64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5">
        <v>300</v>
      </c>
      <c r="P3075" s="65">
        <v>0</v>
      </c>
      <c r="Q3075" s="65">
        <v>0</v>
      </c>
      <c r="R3075" s="65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64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5">
        <v>1000</v>
      </c>
      <c r="P3076" s="65">
        <v>0</v>
      </c>
      <c r="Q3076" s="65">
        <v>0</v>
      </c>
      <c r="R3076" s="65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64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5">
        <v>45629.1</v>
      </c>
      <c r="P3077" s="65">
        <v>0</v>
      </c>
      <c r="Q3077" s="65">
        <v>0</v>
      </c>
      <c r="R3077" s="65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64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5">
        <v>443</v>
      </c>
      <c r="P3078" s="65">
        <v>0</v>
      </c>
      <c r="Q3078" s="65">
        <v>0</v>
      </c>
      <c r="R3078" s="65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64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5">
        <v>108.97</v>
      </c>
      <c r="P3079" s="65">
        <v>0</v>
      </c>
      <c r="Q3079" s="65">
        <v>0</v>
      </c>
      <c r="R3079" s="65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64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5">
        <v>13.95</v>
      </c>
      <c r="P3080" s="65">
        <v>0</v>
      </c>
      <c r="Q3080" s="65">
        <v>0</v>
      </c>
      <c r="R3080" s="65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64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5">
        <v>150</v>
      </c>
      <c r="P3081" s="65">
        <v>0</v>
      </c>
      <c r="Q3081" s="65">
        <v>0</v>
      </c>
      <c r="R3081" s="65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64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5">
        <v>50558.46</v>
      </c>
      <c r="P3082" s="65">
        <v>0</v>
      </c>
      <c r="Q3082" s="65">
        <v>0</v>
      </c>
      <c r="R3082" s="65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64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5">
        <v>2400</v>
      </c>
      <c r="P3083" s="65">
        <v>0</v>
      </c>
      <c r="Q3083" s="65">
        <v>0</v>
      </c>
      <c r="R3083" s="65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64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5">
        <v>160</v>
      </c>
      <c r="P3084" s="65">
        <v>0</v>
      </c>
      <c r="Q3084" s="65">
        <v>0</v>
      </c>
      <c r="R3084" s="65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64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5">
        <v>20</v>
      </c>
      <c r="P3085" s="65">
        <v>0</v>
      </c>
      <c r="Q3085" s="65">
        <v>0</v>
      </c>
      <c r="R3085" s="65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64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5">
        <v>1.6</v>
      </c>
      <c r="P3086" s="65">
        <v>0</v>
      </c>
      <c r="Q3086" s="65">
        <v>0</v>
      </c>
      <c r="R3086" s="65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64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5">
        <v>114.78</v>
      </c>
      <c r="P3087" s="65">
        <v>0</v>
      </c>
      <c r="Q3087" s="65">
        <v>0</v>
      </c>
      <c r="R3087" s="65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64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5">
        <v>1.77</v>
      </c>
      <c r="P3088" s="65">
        <v>0</v>
      </c>
      <c r="Q3088" s="65">
        <v>0</v>
      </c>
      <c r="R3088" s="65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64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5">
        <v>700</v>
      </c>
      <c r="P3089" s="65">
        <v>0</v>
      </c>
      <c r="Q3089" s="65">
        <v>0</v>
      </c>
      <c r="R3089" s="65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64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5">
        <v>3.4</v>
      </c>
      <c r="P3090" s="65">
        <v>0</v>
      </c>
      <c r="Q3090" s="65">
        <v>0</v>
      </c>
      <c r="R3090" s="65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64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5">
        <v>100</v>
      </c>
      <c r="P3091" s="65">
        <v>0</v>
      </c>
      <c r="Q3091" s="65">
        <v>0</v>
      </c>
      <c r="R3091" s="65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64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5">
        <v>71</v>
      </c>
      <c r="P3092" s="65">
        <v>0</v>
      </c>
      <c r="Q3092" s="65">
        <v>0</v>
      </c>
      <c r="R3092" s="65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64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5">
        <v>350</v>
      </c>
      <c r="P3093" s="65">
        <v>0</v>
      </c>
      <c r="Q3093" s="65">
        <v>0</v>
      </c>
      <c r="R3093" s="65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64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5">
        <v>14.16</v>
      </c>
      <c r="P3094" s="65">
        <v>0</v>
      </c>
      <c r="Q3094" s="65">
        <v>0</v>
      </c>
      <c r="R3094" s="65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64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5">
        <v>60</v>
      </c>
      <c r="P3095" s="65">
        <v>0</v>
      </c>
      <c r="Q3095" s="65">
        <v>0</v>
      </c>
      <c r="R3095" s="65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64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5">
        <v>600</v>
      </c>
      <c r="P3096" s="65">
        <v>0</v>
      </c>
      <c r="Q3096" s="65">
        <v>0</v>
      </c>
      <c r="R3096" s="65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64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5">
        <v>150</v>
      </c>
      <c r="P3097" s="65">
        <v>0</v>
      </c>
      <c r="Q3097" s="65">
        <v>0</v>
      </c>
      <c r="R3097" s="65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64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5">
        <v>3.13</v>
      </c>
      <c r="P3098" s="65">
        <v>0</v>
      </c>
      <c r="Q3098" s="65">
        <v>0</v>
      </c>
      <c r="R3098" s="65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64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5">
        <v>34</v>
      </c>
      <c r="P3099" s="65">
        <v>0</v>
      </c>
      <c r="Q3099" s="65">
        <v>0</v>
      </c>
      <c r="R3099" s="65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64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5">
        <v>136.66999999999999</v>
      </c>
      <c r="P3100" s="65">
        <v>0</v>
      </c>
      <c r="Q3100" s="65">
        <v>0</v>
      </c>
      <c r="R3100" s="65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64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5">
        <v>78.099999999999994</v>
      </c>
      <c r="P3101" s="65">
        <v>0</v>
      </c>
      <c r="Q3101" s="65">
        <v>0</v>
      </c>
      <c r="R3101" s="65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64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5">
        <v>290.95</v>
      </c>
      <c r="P3102" s="65">
        <v>0</v>
      </c>
      <c r="Q3102" s="65">
        <v>0</v>
      </c>
      <c r="R3102" s="65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64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5">
        <v>160599.29999999999</v>
      </c>
      <c r="P3103" s="65">
        <v>0</v>
      </c>
      <c r="Q3103" s="65">
        <v>0</v>
      </c>
      <c r="R3103" s="65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64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5">
        <v>50</v>
      </c>
      <c r="P3104" s="65">
        <v>0</v>
      </c>
      <c r="Q3104" s="65">
        <v>0</v>
      </c>
      <c r="R3104" s="65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64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5">
        <v>50</v>
      </c>
      <c r="P3105" s="65">
        <v>0</v>
      </c>
      <c r="Q3105" s="65">
        <v>0</v>
      </c>
      <c r="R3105" s="65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64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5">
        <v>37</v>
      </c>
      <c r="P3106" s="65">
        <v>0</v>
      </c>
      <c r="Q3106" s="65">
        <v>0</v>
      </c>
      <c r="R3106" s="65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64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5">
        <v>1170</v>
      </c>
      <c r="P3107" s="65">
        <v>0</v>
      </c>
      <c r="Q3107" s="65">
        <v>0</v>
      </c>
      <c r="R3107" s="65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64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5">
        <v>45</v>
      </c>
      <c r="P3108" s="65">
        <v>0</v>
      </c>
      <c r="Q3108" s="65">
        <v>0</v>
      </c>
      <c r="R3108" s="65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64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5">
        <v>7.08</v>
      </c>
      <c r="P3109" s="65">
        <v>0</v>
      </c>
      <c r="Q3109" s="65">
        <v>0</v>
      </c>
      <c r="R3109" s="65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64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5">
        <v>120</v>
      </c>
      <c r="P3110" s="65">
        <v>0</v>
      </c>
      <c r="Q3110" s="65">
        <v>0</v>
      </c>
      <c r="R3110" s="65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64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5">
        <v>1250</v>
      </c>
      <c r="P3111" s="65">
        <v>0</v>
      </c>
      <c r="Q3111" s="65">
        <v>0</v>
      </c>
      <c r="R3111" s="65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64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5">
        <v>9.39</v>
      </c>
      <c r="P3112" s="65">
        <v>0</v>
      </c>
      <c r="Q3112" s="65">
        <v>0</v>
      </c>
      <c r="R3112" s="65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64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5">
        <v>0.04</v>
      </c>
      <c r="P3113" s="65">
        <v>0</v>
      </c>
      <c r="Q3113" s="65">
        <v>0</v>
      </c>
      <c r="R3113" s="65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64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5">
        <v>23.8</v>
      </c>
      <c r="P3114" s="65">
        <v>0</v>
      </c>
      <c r="Q3114" s="65">
        <v>0</v>
      </c>
      <c r="R3114" s="65">
        <v>23.8</v>
      </c>
      <c r="S3114" t="s">
        <v>155</v>
      </c>
    </row>
    <row r="3115" spans="1:19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e">
        <v>#N/A</v>
      </c>
      <c r="G3142" t="s">
        <v>213</v>
      </c>
      <c r="H3142" t="s">
        <v>167</v>
      </c>
      <c r="I3142" t="s">
        <v>151</v>
      </c>
      <c r="J3142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e">
        <v>#N/A</v>
      </c>
      <c r="G3183" t="s">
        <v>213</v>
      </c>
      <c r="H3183" t="s">
        <v>159</v>
      </c>
      <c r="I3183" t="s">
        <v>151</v>
      </c>
      <c r="J318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e">
        <v>#N/A</v>
      </c>
      <c r="G3303" t="s">
        <v>149</v>
      </c>
      <c r="H3303" t="s">
        <v>150</v>
      </c>
      <c r="I3303" t="s">
        <v>151</v>
      </c>
      <c r="J330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6" sqref="C16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4">
        <v>872484.65</v>
      </c>
    </row>
    <row r="15" spans="1:3" x14ac:dyDescent="0.3">
      <c r="A15" s="18" t="s">
        <v>3</v>
      </c>
      <c r="B15" s="18">
        <v>2026</v>
      </c>
      <c r="C15" s="94">
        <v>997507.6</v>
      </c>
    </row>
    <row r="16" spans="1:3" x14ac:dyDescent="0.3">
      <c r="A16" s="18" t="s">
        <v>13</v>
      </c>
      <c r="B16" s="18">
        <v>2026</v>
      </c>
      <c r="C16" s="111">
        <v>1054273.8</v>
      </c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C16" sqref="C16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4">
        <v>579899.35</v>
      </c>
    </row>
    <row r="15" spans="1:3" x14ac:dyDescent="0.3">
      <c r="A15" s="18" t="s">
        <v>3</v>
      </c>
      <c r="B15" s="18">
        <v>2026</v>
      </c>
      <c r="C15" s="94">
        <v>636726.01</v>
      </c>
    </row>
    <row r="16" spans="1:3" x14ac:dyDescent="0.3">
      <c r="A16" s="18" t="s">
        <v>13</v>
      </c>
      <c r="B16" s="18">
        <v>2026</v>
      </c>
      <c r="C16" s="94">
        <v>705701.25</v>
      </c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C25"/>
  <sheetViews>
    <sheetView workbookViewId="0">
      <selection activeCell="D16" sqref="D16"/>
    </sheetView>
  </sheetViews>
  <sheetFormatPr defaultRowHeight="15.6" x14ac:dyDescent="0.3"/>
  <cols>
    <col min="3" max="3" width="22.796875" style="1" bestFit="1" customWidth="1"/>
  </cols>
  <sheetData>
    <row r="1" spans="1:3" ht="23.4" x14ac:dyDescent="0.45">
      <c r="A1" s="18" t="s">
        <v>106</v>
      </c>
      <c r="B1" s="18" t="s">
        <v>4262</v>
      </c>
      <c r="C1" s="42" t="s">
        <v>119</v>
      </c>
    </row>
    <row r="2" spans="1:3" ht="23.4" x14ac:dyDescent="0.45">
      <c r="A2" s="18" t="s">
        <v>2</v>
      </c>
      <c r="B2" s="18">
        <v>2025</v>
      </c>
      <c r="C2" s="42">
        <v>984883.55999999959</v>
      </c>
    </row>
    <row r="3" spans="1:3" ht="23.4" x14ac:dyDescent="0.45">
      <c r="A3" s="18" t="s">
        <v>3</v>
      </c>
      <c r="B3" s="18">
        <v>2025</v>
      </c>
      <c r="C3" s="42">
        <v>348819.7099999999</v>
      </c>
    </row>
    <row r="4" spans="1:3" ht="23.4" x14ac:dyDescent="0.45">
      <c r="A4" s="18" t="s">
        <v>13</v>
      </c>
      <c r="B4" s="18">
        <v>2025</v>
      </c>
      <c r="C4" s="42">
        <v>447853.12000000034</v>
      </c>
    </row>
    <row r="5" spans="1:3" ht="23.4" x14ac:dyDescent="0.45">
      <c r="A5" s="18" t="s">
        <v>4</v>
      </c>
      <c r="B5" s="18">
        <v>2025</v>
      </c>
      <c r="C5" s="42">
        <v>330908.61</v>
      </c>
    </row>
    <row r="6" spans="1:3" ht="23.4" x14ac:dyDescent="0.45">
      <c r="A6" s="18" t="s">
        <v>91</v>
      </c>
      <c r="B6" s="18">
        <v>2025</v>
      </c>
      <c r="C6" s="42">
        <v>418740.03000000009</v>
      </c>
    </row>
    <row r="7" spans="1:3" ht="23.4" x14ac:dyDescent="0.45">
      <c r="A7" s="18" t="s">
        <v>92</v>
      </c>
      <c r="B7" s="18">
        <v>2025</v>
      </c>
      <c r="C7" s="42">
        <v>522193.95999999996</v>
      </c>
    </row>
    <row r="8" spans="1:3" ht="23.4" x14ac:dyDescent="0.45">
      <c r="A8" s="18" t="s">
        <v>93</v>
      </c>
      <c r="B8" s="18">
        <v>2025</v>
      </c>
      <c r="C8" s="42">
        <v>666878.2999999997</v>
      </c>
    </row>
    <row r="9" spans="1:3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3" ht="23.4" x14ac:dyDescent="0.45">
      <c r="A10" s="18" t="s">
        <v>98</v>
      </c>
      <c r="B10" s="18">
        <v>2025</v>
      </c>
      <c r="C10" s="42">
        <v>944942.41</v>
      </c>
    </row>
    <row r="11" spans="1:3" ht="23.4" x14ac:dyDescent="0.45">
      <c r="A11" s="18" t="s">
        <v>100</v>
      </c>
      <c r="B11" s="18">
        <v>2025</v>
      </c>
      <c r="C11" s="42">
        <v>814941.29999999993</v>
      </c>
    </row>
    <row r="12" spans="1:3" ht="23.4" x14ac:dyDescent="0.45">
      <c r="A12" s="18" t="s">
        <v>107</v>
      </c>
      <c r="B12" s="18">
        <v>2025</v>
      </c>
      <c r="C12" s="42">
        <v>1146189.1299999999</v>
      </c>
    </row>
    <row r="13" spans="1:3" ht="23.4" x14ac:dyDescent="0.45">
      <c r="A13" s="18" t="s">
        <v>108</v>
      </c>
      <c r="B13" s="18">
        <v>2025</v>
      </c>
      <c r="C13" s="42">
        <v>1080216.8400000001</v>
      </c>
    </row>
    <row r="14" spans="1:3" x14ac:dyDescent="0.3">
      <c r="A14" s="18" t="s">
        <v>2</v>
      </c>
      <c r="B14" s="18">
        <v>2026</v>
      </c>
      <c r="C14" s="49">
        <v>806774.31</v>
      </c>
    </row>
    <row r="15" spans="1:3" x14ac:dyDescent="0.3">
      <c r="A15" s="18" t="s">
        <v>3</v>
      </c>
      <c r="B15" s="18">
        <v>2026</v>
      </c>
      <c r="C15" s="49">
        <v>873010.16</v>
      </c>
    </row>
    <row r="16" spans="1:3" x14ac:dyDescent="0.3">
      <c r="A16" s="18" t="s">
        <v>13</v>
      </c>
      <c r="B16" s="18">
        <v>2026</v>
      </c>
      <c r="C16" s="49"/>
    </row>
    <row r="17" spans="1:3" x14ac:dyDescent="0.3">
      <c r="A17" s="18" t="s">
        <v>4</v>
      </c>
      <c r="B17" s="18">
        <v>2026</v>
      </c>
      <c r="C17" s="49"/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2026-04-07T14:09:00Z</dcterms:modified>
  <cp:category/>
  <cp:contentStatus/>
</cp:coreProperties>
</file>