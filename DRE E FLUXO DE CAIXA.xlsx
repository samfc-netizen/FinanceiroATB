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426E173E-32E3-4732-9E15-2BBFE8D94362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PLANO DE CONTAS " sheetId="4" state="hidden" r:id="rId1"/>
    <sheet name=" DRE  " sheetId="10" r:id="rId2"/>
    <sheet name="DFC" sheetId="11" r:id="rId3"/>
    <sheet name="TABELA" sheetId="9" r:id="rId4"/>
    <sheet name="BASE DE DADOS" sheetId="1" r:id="rId5"/>
    <sheet name="RECEITA" sheetId="14" r:id="rId6"/>
    <sheet name="CMV" sheetId="16" r:id="rId7"/>
    <sheet name="RECEBIMENTO" sheetId="15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115" i="1" l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<sst xmlns="http://schemas.openxmlformats.org/spreadsheetml/2006/main" count="44798" uniqueCount="5004">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</sst>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1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  <xf numFmtId="8" fontId="0" fillId="0" borderId="5" xfId="0" applyNumberFormat="1" applyBorder="1"/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7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9">
      <pivotArea outline="0" collapsedLevelsAreSubtotals="1" fieldPosition="0"/>
    </format>
    <format dxfId="58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115" totalsRowShown="0" dataDxfId="31" dataCellStyle="Moeda">
  <autoFilter ref="A1:S3115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4" t="s">
        <v>2</v>
      </c>
      <c r="F3" s="94"/>
      <c r="G3" s="94"/>
      <c r="L3" s="94" t="s">
        <v>3</v>
      </c>
      <c r="M3" s="94"/>
      <c r="N3" s="94"/>
      <c r="Z3" s="94" t="s">
        <v>4</v>
      </c>
      <c r="AA3" s="94"/>
      <c r="AB3" s="94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4" t="s">
        <v>13</v>
      </c>
      <c r="T4" s="94"/>
      <c r="U4" s="94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98" t="s">
        <v>113</v>
      </c>
      <c r="B4" s="97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98"/>
      <c r="B5" s="97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99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99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0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1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2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2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2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2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5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6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99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99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99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99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99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99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99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99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3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3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4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5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08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09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6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07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15"/>
  <sheetViews>
    <sheetView workbookViewId="0">
      <selection activeCell="D22" sqref="D22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85</v>
      </c>
      <c r="F2652" t="s">
        <v>17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x14ac:dyDescent="0.3">
      <c r="A3115" t="s">
        <v>5003</v>
      </c>
      <c r="F3115" t="s">
        <v>17</v>
      </c>
      <c r="J3115" s="64"/>
      <c r="O3115" s="65"/>
      <c r="P3115" s="65"/>
      <c r="Q3115" s="65"/>
      <c r="R3115" s="65">
        <f>Tabela1[[#This Row],[Valor]]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5" sqref="C15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110">
        <v>872484.65</v>
      </c>
    </row>
    <row r="15" spans="1:3" x14ac:dyDescent="0.3">
      <c r="A15" s="18" t="s">
        <v>3</v>
      </c>
      <c r="B15" s="18">
        <v>2026</v>
      </c>
      <c r="C15" s="110">
        <v>997507.6</v>
      </c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H12" sqref="H12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110">
        <v>579899.35</v>
      </c>
    </row>
    <row r="15" spans="1:3" x14ac:dyDescent="0.3">
      <c r="A15" s="18" t="s">
        <v>3</v>
      </c>
      <c r="B15" s="18">
        <v>2026</v>
      </c>
      <c r="C15" s="110">
        <v>636726.01</v>
      </c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C25"/>
  <sheetViews>
    <sheetView tabSelected="1" workbookViewId="0">
      <selection activeCell="H8" sqref="H8"/>
    </sheetView>
  </sheetViews>
  <sheetFormatPr defaultRowHeight="15.6" x14ac:dyDescent="0.3"/>
  <cols>
    <col min="3" max="3" width="22.796875" style="1" bestFit="1" customWidth="1"/>
  </cols>
  <sheetData>
    <row r="1" spans="1:3" ht="23.4" x14ac:dyDescent="0.45">
      <c r="A1" s="18" t="s">
        <v>106</v>
      </c>
      <c r="B1" s="18" t="s">
        <v>4262</v>
      </c>
      <c r="C1" s="42" t="s">
        <v>119</v>
      </c>
    </row>
    <row r="2" spans="1:3" ht="23.4" x14ac:dyDescent="0.45">
      <c r="A2" s="18" t="s">
        <v>2</v>
      </c>
      <c r="B2" s="18">
        <v>2025</v>
      </c>
      <c r="C2" s="42">
        <v>984883.55999999959</v>
      </c>
    </row>
    <row r="3" spans="1:3" ht="23.4" x14ac:dyDescent="0.45">
      <c r="A3" s="18" t="s">
        <v>3</v>
      </c>
      <c r="B3" s="18">
        <v>2025</v>
      </c>
      <c r="C3" s="42">
        <v>348819.7099999999</v>
      </c>
    </row>
    <row r="4" spans="1:3" ht="23.4" x14ac:dyDescent="0.45">
      <c r="A4" s="18" t="s">
        <v>13</v>
      </c>
      <c r="B4" s="18">
        <v>2025</v>
      </c>
      <c r="C4" s="42">
        <v>447853.12000000034</v>
      </c>
    </row>
    <row r="5" spans="1:3" ht="23.4" x14ac:dyDescent="0.45">
      <c r="A5" s="18" t="s">
        <v>4</v>
      </c>
      <c r="B5" s="18">
        <v>2025</v>
      </c>
      <c r="C5" s="42">
        <v>330908.61</v>
      </c>
    </row>
    <row r="6" spans="1:3" ht="23.4" x14ac:dyDescent="0.45">
      <c r="A6" s="18" t="s">
        <v>91</v>
      </c>
      <c r="B6" s="18">
        <v>2025</v>
      </c>
      <c r="C6" s="42">
        <v>418740.03000000009</v>
      </c>
    </row>
    <row r="7" spans="1:3" ht="23.4" x14ac:dyDescent="0.45">
      <c r="A7" s="18" t="s">
        <v>92</v>
      </c>
      <c r="B7" s="18">
        <v>2025</v>
      </c>
      <c r="C7" s="42">
        <v>522193.95999999996</v>
      </c>
    </row>
    <row r="8" spans="1:3" ht="23.4" x14ac:dyDescent="0.45">
      <c r="A8" s="18" t="s">
        <v>93</v>
      </c>
      <c r="B8" s="18">
        <v>2025</v>
      </c>
      <c r="C8" s="42">
        <v>666878.2999999997</v>
      </c>
    </row>
    <row r="9" spans="1:3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3" ht="23.4" x14ac:dyDescent="0.45">
      <c r="A10" s="18" t="s">
        <v>98</v>
      </c>
      <c r="B10" s="18">
        <v>2025</v>
      </c>
      <c r="C10" s="42">
        <v>944942.41</v>
      </c>
    </row>
    <row r="11" spans="1:3" ht="23.4" x14ac:dyDescent="0.45">
      <c r="A11" s="18" t="s">
        <v>100</v>
      </c>
      <c r="B11" s="18">
        <v>2025</v>
      </c>
      <c r="C11" s="42">
        <v>814941.29999999993</v>
      </c>
    </row>
    <row r="12" spans="1:3" ht="23.4" x14ac:dyDescent="0.45">
      <c r="A12" s="18" t="s">
        <v>107</v>
      </c>
      <c r="B12" s="18">
        <v>2025</v>
      </c>
      <c r="C12" s="42">
        <v>1146189.1299999999</v>
      </c>
    </row>
    <row r="13" spans="1:3" ht="23.4" x14ac:dyDescent="0.45">
      <c r="A13" s="18" t="s">
        <v>108</v>
      </c>
      <c r="B13" s="18">
        <v>2025</v>
      </c>
      <c r="C13" s="42">
        <v>1080216.8400000001</v>
      </c>
    </row>
    <row r="14" spans="1:3" x14ac:dyDescent="0.3">
      <c r="A14" s="18" t="s">
        <v>2</v>
      </c>
      <c r="B14" s="18">
        <v>2026</v>
      </c>
      <c r="C14" s="49">
        <v>806774.31</v>
      </c>
    </row>
    <row r="15" spans="1:3" x14ac:dyDescent="0.3">
      <c r="A15" s="18" t="s">
        <v>3</v>
      </c>
      <c r="B15" s="18">
        <v>2026</v>
      </c>
      <c r="C15" s="49"/>
    </row>
    <row r="16" spans="1:3" x14ac:dyDescent="0.3">
      <c r="A16" s="18" t="s">
        <v>13</v>
      </c>
      <c r="B16" s="18">
        <v>2026</v>
      </c>
      <c r="C16" s="49"/>
    </row>
    <row r="17" spans="1:3" x14ac:dyDescent="0.3">
      <c r="A17" s="18" t="s">
        <v>4</v>
      </c>
      <c r="B17" s="18">
        <v>2026</v>
      </c>
      <c r="C17" s="49"/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2026-03-05T17:27:50Z</dcterms:modified>
  <cp:category/>
  <cp:contentStatus/>
</cp:coreProperties>
</file>